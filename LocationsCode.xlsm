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ALDO\Desktop\dove6_doc\"/>
    </mc:Choice>
  </mc:AlternateContent>
  <xr:revisionPtr revIDLastSave="0" documentId="13_ncr:1_{EBD02A71-C28D-4967-9261-D1C60A28F316}" xr6:coauthVersionLast="47" xr6:coauthVersionMax="47" xr10:uidLastSave="{00000000-0000-0000-0000-000000000000}"/>
  <bookViews>
    <workbookView xWindow="-108" yWindow="-108" windowWidth="23256" windowHeight="12576" activeTab="2" xr2:uid="{31B08A69-7627-438C-B0AF-326400DBA83D}"/>
  </bookViews>
  <sheets>
    <sheet name="intro" sheetId="3" r:id="rId1"/>
    <sheet name="encoding" sheetId="1" r:id="rId2"/>
    <sheet name="grid" sheetId="2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2" l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D7" i="2"/>
  <c r="E7" i="2" s="1"/>
  <c r="F7" i="2" s="1"/>
  <c r="G7" i="2" s="1"/>
  <c r="H7" i="2" s="1"/>
  <c r="I7" i="2" s="1"/>
  <c r="J7" i="2" s="1"/>
  <c r="K7" i="2" s="1"/>
  <c r="L7" i="2" s="1"/>
  <c r="M7" i="2" s="1"/>
  <c r="N7" i="2" s="1"/>
  <c r="O7" i="2" s="1"/>
  <c r="P7" i="2" s="1"/>
  <c r="Q7" i="2" s="1"/>
  <c r="D5" i="1"/>
  <c r="C5" i="1"/>
  <c r="D3" i="1"/>
  <c r="C3" i="1"/>
  <c r="E5" i="1"/>
  <c r="E3" i="1"/>
  <c r="F3" i="1" s="1"/>
  <c r="Q39" i="2"/>
  <c r="I39" i="2"/>
  <c r="A39" i="2"/>
  <c r="J38" i="2"/>
  <c r="K37" i="2"/>
  <c r="C37" i="2"/>
  <c r="L36" i="2"/>
  <c r="D36" i="2"/>
  <c r="M35" i="2"/>
  <c r="E35" i="2"/>
  <c r="N34" i="2"/>
  <c r="F34" i="2"/>
  <c r="O33" i="2"/>
  <c r="G33" i="2"/>
  <c r="P32" i="2"/>
  <c r="H32" i="2"/>
  <c r="Q31" i="2"/>
  <c r="I31" i="2"/>
  <c r="A31" i="2"/>
  <c r="J30" i="2"/>
  <c r="K29" i="2"/>
  <c r="C29" i="2"/>
  <c r="L28" i="2"/>
  <c r="D28" i="2"/>
  <c r="M27" i="2"/>
  <c r="E27" i="2"/>
  <c r="N26" i="2"/>
  <c r="F26" i="2"/>
  <c r="O25" i="2"/>
  <c r="G25" i="2"/>
  <c r="P39" i="2"/>
  <c r="H39" i="2"/>
  <c r="Q38" i="2"/>
  <c r="I38" i="2"/>
  <c r="A38" i="2"/>
  <c r="J37" i="2"/>
  <c r="K36" i="2"/>
  <c r="C36" i="2"/>
  <c r="L35" i="2"/>
  <c r="D35" i="2"/>
  <c r="M34" i="2"/>
  <c r="E34" i="2"/>
  <c r="N33" i="2"/>
  <c r="F33" i="2"/>
  <c r="O32" i="2"/>
  <c r="G32" i="2"/>
  <c r="P31" i="2"/>
  <c r="H31" i="2"/>
  <c r="Q30" i="2"/>
  <c r="I30" i="2"/>
  <c r="A30" i="2"/>
  <c r="J29" i="2"/>
  <c r="K28" i="2"/>
  <c r="C28" i="2"/>
  <c r="L27" i="2"/>
  <c r="D27" i="2"/>
  <c r="M26" i="2"/>
  <c r="E26" i="2"/>
  <c r="N25" i="2"/>
  <c r="F25" i="2"/>
  <c r="O24" i="2"/>
  <c r="G24" i="2"/>
  <c r="P23" i="2"/>
  <c r="H23" i="2"/>
  <c r="Q22" i="2"/>
  <c r="I22" i="2"/>
  <c r="A22" i="2"/>
  <c r="J21" i="2"/>
  <c r="K20" i="2"/>
  <c r="C20" i="2"/>
  <c r="L19" i="2"/>
  <c r="D19" i="2"/>
  <c r="M18" i="2"/>
  <c r="E18" i="2"/>
  <c r="N17" i="2"/>
  <c r="F17" i="2"/>
  <c r="O16" i="2"/>
  <c r="G16" i="2"/>
  <c r="P15" i="2"/>
  <c r="H15" i="2"/>
  <c r="Q14" i="2"/>
  <c r="I14" i="2"/>
  <c r="A14" i="2"/>
  <c r="J13" i="2"/>
  <c r="K12" i="2"/>
  <c r="C12" i="2"/>
  <c r="L11" i="2"/>
  <c r="D11" i="2"/>
  <c r="M10" i="2"/>
  <c r="E10" i="2"/>
  <c r="N9" i="2"/>
  <c r="F9" i="2"/>
  <c r="O8" i="2"/>
  <c r="G8" i="2"/>
  <c r="M6" i="2"/>
  <c r="E6" i="2"/>
  <c r="O39" i="2"/>
  <c r="G39" i="2"/>
  <c r="P38" i="2"/>
  <c r="H38" i="2"/>
  <c r="Q37" i="2"/>
  <c r="I37" i="2"/>
  <c r="A37" i="2"/>
  <c r="J36" i="2"/>
  <c r="K35" i="2"/>
  <c r="C35" i="2"/>
  <c r="L34" i="2"/>
  <c r="D34" i="2"/>
  <c r="M33" i="2"/>
  <c r="E33" i="2"/>
  <c r="N32" i="2"/>
  <c r="F32" i="2"/>
  <c r="O31" i="2"/>
  <c r="G31" i="2"/>
  <c r="P30" i="2"/>
  <c r="H30" i="2"/>
  <c r="Q29" i="2"/>
  <c r="I29" i="2"/>
  <c r="A29" i="2"/>
  <c r="J28" i="2"/>
  <c r="K27" i="2"/>
  <c r="C27" i="2"/>
  <c r="L26" i="2"/>
  <c r="D26" i="2"/>
  <c r="M25" i="2"/>
  <c r="E25" i="2"/>
  <c r="N24" i="2"/>
  <c r="F24" i="2"/>
  <c r="O23" i="2"/>
  <c r="G23" i="2"/>
  <c r="P22" i="2"/>
  <c r="H22" i="2"/>
  <c r="Q21" i="2"/>
  <c r="I21" i="2"/>
  <c r="A21" i="2"/>
  <c r="J20" i="2"/>
  <c r="K19" i="2"/>
  <c r="C19" i="2"/>
  <c r="L18" i="2"/>
  <c r="D18" i="2"/>
  <c r="M17" i="2"/>
  <c r="E17" i="2"/>
  <c r="N16" i="2"/>
  <c r="F16" i="2"/>
  <c r="N39" i="2"/>
  <c r="C39" i="2"/>
  <c r="F38" i="2"/>
  <c r="L37" i="2"/>
  <c r="O36" i="2"/>
  <c r="A36" i="2"/>
  <c r="G35" i="2"/>
  <c r="J34" i="2"/>
  <c r="P33" i="2"/>
  <c r="E32" i="2"/>
  <c r="K31" i="2"/>
  <c r="N30" i="2"/>
  <c r="C30" i="2"/>
  <c r="F29" i="2"/>
  <c r="I28" i="2"/>
  <c r="O27" i="2"/>
  <c r="A27" i="2"/>
  <c r="G26" i="2"/>
  <c r="J25" i="2"/>
  <c r="P24" i="2"/>
  <c r="D24" i="2"/>
  <c r="K23" i="2"/>
  <c r="A23" i="2"/>
  <c r="F22" i="2"/>
  <c r="M21" i="2"/>
  <c r="C21" i="2"/>
  <c r="H20" i="2"/>
  <c r="O19" i="2"/>
  <c r="E19" i="2"/>
  <c r="J18" i="2"/>
  <c r="Q17" i="2"/>
  <c r="G17" i="2"/>
  <c r="L16" i="2"/>
  <c r="J15" i="2"/>
  <c r="A15" i="2"/>
  <c r="H14" i="2"/>
  <c r="P13" i="2"/>
  <c r="G13" i="2"/>
  <c r="O12" i="2"/>
  <c r="F12" i="2"/>
  <c r="N11" i="2"/>
  <c r="E11" i="2"/>
  <c r="L10" i="2"/>
  <c r="C10" i="2"/>
  <c r="K9" i="2"/>
  <c r="J8" i="2"/>
  <c r="L6" i="2"/>
  <c r="C6" i="2"/>
  <c r="M36" i="2"/>
  <c r="K33" i="2"/>
  <c r="C32" i="2"/>
  <c r="L30" i="2"/>
  <c r="D29" i="2"/>
  <c r="J27" i="2"/>
  <c r="H25" i="2"/>
  <c r="L24" i="2"/>
  <c r="I23" i="2"/>
  <c r="N22" i="2"/>
  <c r="D22" i="2"/>
  <c r="K21" i="2"/>
  <c r="P20" i="2"/>
  <c r="F20" i="2"/>
  <c r="M19" i="2"/>
  <c r="A19" i="2"/>
  <c r="H18" i="2"/>
  <c r="O17" i="2"/>
  <c r="J16" i="2"/>
  <c r="G15" i="2"/>
  <c r="F14" i="2"/>
  <c r="N13" i="2"/>
  <c r="E13" i="2"/>
  <c r="M12" i="2"/>
  <c r="D12" i="2"/>
  <c r="K11" i="2"/>
  <c r="J10" i="2"/>
  <c r="A10" i="2"/>
  <c r="I9" i="2"/>
  <c r="Q8" i="2"/>
  <c r="H8" i="2"/>
  <c r="J6" i="2"/>
  <c r="K39" i="2"/>
  <c r="N38" i="2"/>
  <c r="C38" i="2"/>
  <c r="F37" i="2"/>
  <c r="I36" i="2"/>
  <c r="A35" i="2"/>
  <c r="G34" i="2"/>
  <c r="J33" i="2"/>
  <c r="M32" i="2"/>
  <c r="E31" i="2"/>
  <c r="N29" i="2"/>
  <c r="Q28" i="2"/>
  <c r="I27" i="2"/>
  <c r="A26" i="2"/>
  <c r="D25" i="2"/>
  <c r="A24" i="2"/>
  <c r="M22" i="2"/>
  <c r="H21" i="2"/>
  <c r="Q18" i="2"/>
  <c r="L17" i="2"/>
  <c r="I16" i="2"/>
  <c r="F15" i="2"/>
  <c r="E14" i="2"/>
  <c r="L12" i="2"/>
  <c r="A11" i="2"/>
  <c r="H9" i="2"/>
  <c r="I6" i="2"/>
  <c r="M38" i="2"/>
  <c r="H36" i="2"/>
  <c r="Q34" i="2"/>
  <c r="I33" i="2"/>
  <c r="M39" i="2"/>
  <c r="E38" i="2"/>
  <c r="H37" i="2"/>
  <c r="N36" i="2"/>
  <c r="Q35" i="2"/>
  <c r="F35" i="2"/>
  <c r="I34" i="2"/>
  <c r="L33" i="2"/>
  <c r="A33" i="2"/>
  <c r="D32" i="2"/>
  <c r="J31" i="2"/>
  <c r="M30" i="2"/>
  <c r="P29" i="2"/>
  <c r="E29" i="2"/>
  <c r="H28" i="2"/>
  <c r="N27" i="2"/>
  <c r="Q26" i="2"/>
  <c r="C26" i="2"/>
  <c r="I25" i="2"/>
  <c r="M24" i="2"/>
  <c r="C24" i="2"/>
  <c r="J23" i="2"/>
  <c r="O22" i="2"/>
  <c r="E22" i="2"/>
  <c r="L21" i="2"/>
  <c r="Q20" i="2"/>
  <c r="G20" i="2"/>
  <c r="N19" i="2"/>
  <c r="I18" i="2"/>
  <c r="P17" i="2"/>
  <c r="D17" i="2"/>
  <c r="K16" i="2"/>
  <c r="A16" i="2"/>
  <c r="I15" i="2"/>
  <c r="P14" i="2"/>
  <c r="G14" i="2"/>
  <c r="O13" i="2"/>
  <c r="F13" i="2"/>
  <c r="N12" i="2"/>
  <c r="E12" i="2"/>
  <c r="M11" i="2"/>
  <c r="C11" i="2"/>
  <c r="K10" i="2"/>
  <c r="J9" i="2"/>
  <c r="A9" i="2"/>
  <c r="I8" i="2"/>
  <c r="K6" i="2"/>
  <c r="L39" i="2"/>
  <c r="O38" i="2"/>
  <c r="D38" i="2"/>
  <c r="G37" i="2"/>
  <c r="P35" i="2"/>
  <c r="H34" i="2"/>
  <c r="Q32" i="2"/>
  <c r="F31" i="2"/>
  <c r="O29" i="2"/>
  <c r="G28" i="2"/>
  <c r="P26" i="2"/>
  <c r="C17" i="2"/>
  <c r="Q15" i="2"/>
  <c r="O14" i="2"/>
  <c r="O35" i="2"/>
  <c r="K30" i="2"/>
  <c r="F28" i="2"/>
  <c r="O26" i="2"/>
  <c r="K24" i="2"/>
  <c r="F23" i="2"/>
  <c r="C22" i="2"/>
  <c r="O20" i="2"/>
  <c r="E20" i="2"/>
  <c r="G18" i="2"/>
  <c r="O15" i="2"/>
  <c r="N14" i="2"/>
  <c r="D13" i="2"/>
  <c r="I10" i="2"/>
  <c r="P8" i="2"/>
  <c r="P37" i="2"/>
  <c r="A32" i="2"/>
  <c r="J19" i="2"/>
  <c r="M13" i="2"/>
  <c r="J11" i="2"/>
  <c r="Q9" i="2"/>
  <c r="F8" i="2"/>
  <c r="J39" i="2"/>
  <c r="E37" i="2"/>
  <c r="N35" i="2"/>
  <c r="C34" i="2"/>
  <c r="L32" i="2"/>
  <c r="G30" i="2"/>
  <c r="F39" i="2"/>
  <c r="M37" i="2"/>
  <c r="I35" i="2"/>
  <c r="H33" i="2"/>
  <c r="L31" i="2"/>
  <c r="M29" i="2"/>
  <c r="E28" i="2"/>
  <c r="K26" i="2"/>
  <c r="C25" i="2"/>
  <c r="Q23" i="2"/>
  <c r="L22" i="2"/>
  <c r="G21" i="2"/>
  <c r="D20" i="2"/>
  <c r="P18" i="2"/>
  <c r="K17" i="2"/>
  <c r="H16" i="2"/>
  <c r="E15" i="2"/>
  <c r="D14" i="2"/>
  <c r="C13" i="2"/>
  <c r="A12" i="2"/>
  <c r="Q10" i="2"/>
  <c r="P9" i="2"/>
  <c r="A8" i="2"/>
  <c r="O6" i="2"/>
  <c r="N18" i="2"/>
  <c r="C15" i="2"/>
  <c r="P11" i="2"/>
  <c r="M9" i="2"/>
  <c r="H6" i="2"/>
  <c r="O34" i="2"/>
  <c r="G29" i="2"/>
  <c r="Q24" i="2"/>
  <c r="D21" i="2"/>
  <c r="H17" i="2"/>
  <c r="Q13" i="2"/>
  <c r="N10" i="2"/>
  <c r="L8" i="2"/>
  <c r="G36" i="2"/>
  <c r="J32" i="2"/>
  <c r="H27" i="2"/>
  <c r="E23" i="2"/>
  <c r="F18" i="2"/>
  <c r="M14" i="2"/>
  <c r="I11" i="2"/>
  <c r="K8" i="2"/>
  <c r="F36" i="2"/>
  <c r="O28" i="2"/>
  <c r="I24" i="2"/>
  <c r="M20" i="2"/>
  <c r="Q16" i="2"/>
  <c r="K13" i="2"/>
  <c r="H11" i="2"/>
  <c r="E8" i="2"/>
  <c r="O37" i="2"/>
  <c r="A34" i="2"/>
  <c r="E30" i="2"/>
  <c r="L25" i="2"/>
  <c r="O21" i="2"/>
  <c r="F10" i="2"/>
  <c r="Q6" i="2"/>
  <c r="Q33" i="2"/>
  <c r="M28" i="2"/>
  <c r="E24" i="2"/>
  <c r="I20" i="2"/>
  <c r="M16" i="2"/>
  <c r="H13" i="2"/>
  <c r="D10" i="2"/>
  <c r="C8" i="2"/>
  <c r="E39" i="2"/>
  <c r="D37" i="2"/>
  <c r="H35" i="2"/>
  <c r="D33" i="2"/>
  <c r="D31" i="2"/>
  <c r="L29" i="2"/>
  <c r="A28" i="2"/>
  <c r="J26" i="2"/>
  <c r="N23" i="2"/>
  <c r="K22" i="2"/>
  <c r="F21" i="2"/>
  <c r="A20" i="2"/>
  <c r="O18" i="2"/>
  <c r="J17" i="2"/>
  <c r="E16" i="2"/>
  <c r="D15" i="2"/>
  <c r="C14" i="2"/>
  <c r="A13" i="2"/>
  <c r="Q11" i="2"/>
  <c r="P10" i="2"/>
  <c r="O9" i="2"/>
  <c r="N8" i="2"/>
  <c r="N6" i="2"/>
  <c r="J22" i="2"/>
  <c r="Q19" i="2"/>
  <c r="D16" i="2"/>
  <c r="Q12" i="2"/>
  <c r="O10" i="2"/>
  <c r="M8" i="2"/>
  <c r="L38" i="2"/>
  <c r="K32" i="2"/>
  <c r="P27" i="2"/>
  <c r="L23" i="2"/>
  <c r="P19" i="2"/>
  <c r="C16" i="2"/>
  <c r="P12" i="2"/>
  <c r="O11" i="2"/>
  <c r="L9" i="2"/>
  <c r="G6" i="2"/>
  <c r="K34" i="2"/>
  <c r="P28" i="2"/>
  <c r="J24" i="2"/>
  <c r="N20" i="2"/>
  <c r="A17" i="2"/>
  <c r="L13" i="2"/>
  <c r="H10" i="2"/>
  <c r="F6" i="2"/>
  <c r="I32" i="2"/>
  <c r="G27" i="2"/>
  <c r="D23" i="2"/>
  <c r="H19" i="2"/>
  <c r="M15" i="2"/>
  <c r="I12" i="2"/>
  <c r="G10" i="2"/>
  <c r="N31" i="2"/>
  <c r="F27" i="2"/>
  <c r="C23" i="2"/>
  <c r="G19" i="2"/>
  <c r="L15" i="2"/>
  <c r="I13" i="2"/>
  <c r="G11" i="2"/>
  <c r="D8" i="2"/>
  <c r="J35" i="2"/>
  <c r="D30" i="2"/>
  <c r="K25" i="2"/>
  <c r="N21" i="2"/>
  <c r="A18" i="2"/>
  <c r="J14" i="2"/>
  <c r="F11" i="2"/>
  <c r="P6" i="2"/>
  <c r="D39" i="2"/>
  <c r="Q36" i="2"/>
  <c r="P34" i="2"/>
  <c r="C33" i="2"/>
  <c r="C31" i="2"/>
  <c r="H29" i="2"/>
  <c r="Q27" i="2"/>
  <c r="I26" i="2"/>
  <c r="A25" i="2"/>
  <c r="M23" i="2"/>
  <c r="E21" i="2"/>
  <c r="I17" i="2"/>
  <c r="P36" i="2"/>
  <c r="H26" i="2"/>
  <c r="G22" i="2"/>
  <c r="K18" i="2"/>
  <c r="K38" i="2"/>
  <c r="O30" i="2"/>
  <c r="Q25" i="2"/>
  <c r="I19" i="2"/>
  <c r="N15" i="2"/>
  <c r="J12" i="2"/>
  <c r="G9" i="2"/>
  <c r="G38" i="2"/>
  <c r="F30" i="2"/>
  <c r="P25" i="2"/>
  <c r="P21" i="2"/>
  <c r="C18" i="2"/>
  <c r="L14" i="2"/>
  <c r="E9" i="2"/>
  <c r="D6" i="2"/>
  <c r="E36" i="2"/>
  <c r="N28" i="2"/>
  <c r="H24" i="2"/>
  <c r="L20" i="2"/>
  <c r="P16" i="2"/>
  <c r="K14" i="2"/>
  <c r="H12" i="2"/>
  <c r="D9" i="2"/>
  <c r="N37" i="2"/>
  <c r="M31" i="2"/>
  <c r="F19" i="2"/>
  <c r="K15" i="2"/>
  <c r="G12" i="2"/>
  <c r="C9" i="2"/>
</calcChain>
</file>

<file path=xl/sharedStrings.xml><?xml version="1.0" encoding="utf-8"?>
<sst xmlns="http://schemas.openxmlformats.org/spreadsheetml/2006/main" count="15" uniqueCount="14">
  <si>
    <t>Latitude</t>
  </si>
  <si>
    <t>Longitude</t>
  </si>
  <si>
    <t>Adds 90 to the latitude and 180 to the longitude</t>
  </si>
  <si>
    <t>Normalized coordinates are converted to arc seconds by multiplying by 3600 and rounding</t>
  </si>
  <si>
    <t>Converts to base 34 slid
 (2-9, A-Z)</t>
  </si>
  <si>
    <t>Character interleaving
make
LOCATIONS CODE</t>
  </si>
  <si>
    <t>degree</t>
  </si>
  <si>
    <t>decimal/decimal</t>
  </si>
  <si>
    <t>In this workbook</t>
  </si>
  <si>
    <t>- ENCODING: Builds a Location Code from a pair of GPS coordinates</t>
  </si>
  <si>
    <t>- GRID: Displays the resolution of the Location Codes on Google Maps</t>
  </si>
  <si>
    <t>More information on the website</t>
  </si>
  <si>
    <t>https://www.locationscode.com</t>
  </si>
  <si>
    <t>Aldo Buondonno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</si>
</sst>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.0000000_-;\-* #,##0.0000000_-;_-* &quot;-&quot;??_-;_-@_-"/>
  </numFmts>
  <fonts count="12" x14ac:knownFonts="1">
    <font>
      <sz val="10"/>
      <color theme="1"/>
      <name val="Consolas"/>
      <family val="2"/>
    </font>
    <font>
      <b/>
      <sz val="11"/>
      <color theme="3"/>
      <name val="Consolas"/>
      <family val="2"/>
    </font>
    <font>
      <b/>
      <sz val="10"/>
      <color rgb="FF3F3F3F"/>
      <name val="Consolas"/>
      <family val="2"/>
    </font>
    <font>
      <sz val="8"/>
      <color theme="1"/>
      <name val="Tahoma"/>
      <family val="2"/>
    </font>
    <font>
      <sz val="10"/>
      <color theme="1"/>
      <name val="Consolas"/>
      <family val="2"/>
    </font>
    <font>
      <sz val="10"/>
      <color theme="0"/>
      <name val="Consolas"/>
      <family val="2"/>
    </font>
    <font>
      <b/>
      <sz val="14"/>
      <color theme="0"/>
      <name val="Consolas"/>
      <family val="3"/>
    </font>
    <font>
      <i/>
      <sz val="8"/>
      <color theme="1"/>
      <name val="Tahoma"/>
      <family val="2"/>
    </font>
    <font>
      <u/>
      <sz val="10"/>
      <color theme="10"/>
      <name val="Consolas"/>
      <family val="2"/>
    </font>
    <font>
      <sz val="16"/>
      <color theme="0"/>
      <name val="Segoe UI"/>
      <family val="2"/>
    </font>
    <font>
      <b/>
      <sz val="8"/>
      <color theme="1"/>
      <name val="Tahoma"/>
      <family val="2"/>
    </font>
    <font>
      <sz val="12"/>
      <color theme="0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9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7">
    <xf numFmtId="0" fontId="0" fillId="0" borderId="0"/>
    <xf numFmtId="0" fontId="1" fillId="0" borderId="1" applyNumberFormat="0" applyFill="0" applyAlignment="0" applyProtection="0"/>
    <xf numFmtId="0" fontId="2" fillId="2" borderId="2" applyNumberFormat="0" applyAlignment="0" applyProtection="0"/>
    <xf numFmtId="43" fontId="4" fillId="0" borderId="0" applyFont="0" applyFill="0" applyBorder="0" applyAlignment="0" applyProtection="0"/>
    <xf numFmtId="0" fontId="4" fillId="3" borderId="3" applyNumberFormat="0" applyFont="0" applyAlignment="0" applyProtection="0"/>
    <xf numFmtId="0" fontId="5" fillId="4" borderId="0" applyNumberFormat="0" applyBorder="0" applyAlignment="0" applyProtection="0"/>
    <xf numFmtId="0" fontId="8" fillId="0" borderId="0" applyNumberFormat="0" applyFill="0" applyBorder="0" applyAlignment="0" applyProtection="0"/>
  </cellStyleXfs>
  <cellXfs count="19">
    <xf numFmtId="0" fontId="0" fillId="0" borderId="0" xfId="0"/>
    <xf numFmtId="0" fontId="1" fillId="0" borderId="1" xfId="1"/>
    <xf numFmtId="0" fontId="2" fillId="2" borderId="2" xfId="2"/>
    <xf numFmtId="0" fontId="0" fillId="0" borderId="0" xfId="0" applyAlignment="1">
      <alignment vertical="center"/>
    </xf>
    <xf numFmtId="0" fontId="7" fillId="3" borderId="3" xfId="4" applyFont="1" applyAlignment="1">
      <alignment horizontal="center" vertical="center" wrapText="1"/>
    </xf>
    <xf numFmtId="0" fontId="2" fillId="2" borderId="2" xfId="2" applyAlignment="1">
      <alignment horizontal="center"/>
    </xf>
    <xf numFmtId="0" fontId="3" fillId="0" borderId="0" xfId="0" applyFont="1"/>
    <xf numFmtId="164" fontId="3" fillId="0" borderId="0" xfId="3" applyNumberFormat="1" applyFont="1"/>
    <xf numFmtId="0" fontId="6" fillId="4" borderId="4" xfId="5" applyFont="1" applyBorder="1" applyAlignment="1">
      <alignment horizontal="center" vertical="center"/>
    </xf>
    <xf numFmtId="0" fontId="6" fillId="4" borderId="5" xfId="5" applyFont="1" applyBorder="1" applyAlignment="1">
      <alignment horizontal="center" vertical="center"/>
    </xf>
    <xf numFmtId="0" fontId="6" fillId="4" borderId="6" xfId="5" applyFont="1" applyBorder="1" applyAlignment="1">
      <alignment horizontal="center" vertical="center"/>
    </xf>
    <xf numFmtId="0" fontId="5" fillId="5" borderId="0" xfId="0" applyFont="1" applyFill="1"/>
    <xf numFmtId="164" fontId="10" fillId="3" borderId="3" xfId="4" applyNumberFormat="1" applyFont="1"/>
    <xf numFmtId="0" fontId="5" fillId="5" borderId="0" xfId="0" applyFont="1" applyFill="1" applyAlignment="1">
      <alignment horizontal="center"/>
    </xf>
    <xf numFmtId="0" fontId="9" fillId="5" borderId="0" xfId="0" applyFont="1" applyFill="1" applyAlignment="1">
      <alignment horizontal="left"/>
    </xf>
    <xf numFmtId="0" fontId="9" fillId="5" borderId="0" xfId="0" quotePrefix="1" applyFont="1" applyFill="1" applyAlignment="1">
      <alignment horizontal="left"/>
    </xf>
    <xf numFmtId="0" fontId="11" fillId="5" borderId="0" xfId="0" applyFont="1" applyFill="1" applyAlignment="1">
      <alignment horizontal="left"/>
    </xf>
    <xf numFmtId="0" fontId="11" fillId="5" borderId="0" xfId="0" applyFont="1" applyFill="1" applyAlignment="1">
      <alignment horizontal="left"/>
    </xf>
    <xf numFmtId="0" fontId="8" fillId="6" borderId="0" xfId="6" applyFill="1" applyAlignment="1">
      <alignment horizontal="center"/>
    </xf>
  </cellXfs>
  <cellStyles count="7">
    <cellStyle name="Collegamento ipertestuale" xfId="6" builtinId="8"/>
    <cellStyle name="Colore 6" xfId="5" builtinId="49"/>
    <cellStyle name="Migliaia" xfId="3" builtinId="3"/>
    <cellStyle name="Normale" xfId="0" builtinId="0"/>
    <cellStyle name="Nota" xfId="4" builtinId="10"/>
    <cellStyle name="Output" xfId="2" builtinId="21"/>
    <cellStyle name="Titolo 3" xfId="1" builtinId="1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15241</xdr:colOff>
      <xdr:row>1</xdr:row>
      <xdr:rowOff>38100</xdr:rowOff>
    </xdr:from>
    <xdr:to>
      <xdr:col>1</xdr:col>
      <xdr:colOff>1005841</xdr:colOff>
      <xdr:row>1</xdr:row>
      <xdr:rowOff>643939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B75FB5F7-3AE3-7CE6-D642-F1CA1BC764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1" y="205740"/>
          <a:ext cx="2392680" cy="60583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</xdr:row>
          <xdr:rowOff>15240</xdr:rowOff>
        </xdr:from>
        <xdr:to>
          <xdr:col>3</xdr:col>
          <xdr:colOff>541020</xdr:colOff>
          <xdr:row>4</xdr:row>
          <xdr:rowOff>22860</xdr:rowOff>
        </xdr:to>
        <xdr:sp macro="" textlink="">
          <xdr:nvSpPr>
            <xdr:cNvPr id="2049" name="cmdlink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800100</xdr:colOff>
          <xdr:row>0</xdr:row>
          <xdr:rowOff>114300</xdr:rowOff>
        </xdr:from>
        <xdr:to>
          <xdr:col>5</xdr:col>
          <xdr:colOff>510540</xdr:colOff>
          <xdr:row>3</xdr:row>
          <xdr:rowOff>121920</xdr:rowOff>
        </xdr:to>
        <xdr:sp macro="" textlink="">
          <xdr:nvSpPr>
            <xdr:cNvPr id="2050" name="RemoveLink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locationscode.com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F49D1-A00F-4184-B0A2-740925A2FA23}">
  <sheetPr codeName="Foglio3"/>
  <dimension ref="D3:P17"/>
  <sheetViews>
    <sheetView workbookViewId="0">
      <selection activeCell="I19" sqref="I19"/>
    </sheetView>
  </sheetViews>
  <sheetFormatPr defaultRowHeight="13.2" x14ac:dyDescent="0.25"/>
  <cols>
    <col min="5" max="5" width="13" customWidth="1"/>
  </cols>
  <sheetData>
    <row r="3" spans="4:16" x14ac:dyDescent="0.25"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</row>
    <row r="4" spans="4:16" x14ac:dyDescent="0.25"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</row>
    <row r="5" spans="4:16" x14ac:dyDescent="0.25"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</row>
    <row r="6" spans="4:16" ht="24.6" x14ac:dyDescent="0.55000000000000004">
      <c r="D6" s="11"/>
      <c r="E6" s="14" t="s">
        <v>8</v>
      </c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</row>
    <row r="7" spans="4:16" x14ac:dyDescent="0.25"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</row>
    <row r="8" spans="4:16" x14ac:dyDescent="0.25"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</row>
    <row r="9" spans="4:16" ht="24.6" x14ac:dyDescent="0.55000000000000004">
      <c r="D9" s="11"/>
      <c r="E9" s="14" t="s">
        <v>9</v>
      </c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</row>
    <row r="10" spans="4:16" x14ac:dyDescent="0.25"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</row>
    <row r="11" spans="4:16" ht="24.6" x14ac:dyDescent="0.55000000000000004">
      <c r="D11" s="11"/>
      <c r="E11" s="15" t="s">
        <v>10</v>
      </c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</row>
    <row r="12" spans="4:16" x14ac:dyDescent="0.25"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</row>
    <row r="13" spans="4:16" ht="19.2" x14ac:dyDescent="0.45">
      <c r="D13" s="11"/>
      <c r="E13" s="16" t="s">
        <v>11</v>
      </c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</row>
    <row r="14" spans="4:16" ht="19.2" x14ac:dyDescent="0.45">
      <c r="D14" s="11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</row>
    <row r="15" spans="4:16" x14ac:dyDescent="0.25">
      <c r="D15" s="11"/>
      <c r="E15" s="18" t="s">
        <v>12</v>
      </c>
      <c r="F15" s="18"/>
      <c r="G15" s="18"/>
      <c r="H15" s="18"/>
      <c r="I15" s="11"/>
      <c r="J15" s="11"/>
      <c r="K15" s="11"/>
      <c r="L15" s="11"/>
      <c r="M15" s="11"/>
      <c r="N15" s="11"/>
      <c r="O15" s="11"/>
      <c r="P15" s="11"/>
    </row>
    <row r="16" spans="4:16" x14ac:dyDescent="0.25"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 t="s">
        <v>13</v>
      </c>
      <c r="O16" s="11"/>
      <c r="P16" s="11"/>
    </row>
    <row r="17" spans="4:16" x14ac:dyDescent="0.25"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</row>
  </sheetData>
  <mergeCells count="8">
    <mergeCell ref="E11:P11"/>
    <mergeCell ref="E13:P13"/>
    <mergeCell ref="E15:H15"/>
    <mergeCell ref="D3:P3"/>
    <mergeCell ref="D4:P4"/>
    <mergeCell ref="D5:P5"/>
    <mergeCell ref="E6:P6"/>
    <mergeCell ref="E9:P9"/>
  </mergeCells>
  <hyperlinks>
    <hyperlink ref="E15" r:id="rId1" xr:uid="{BC9C261E-F8C2-4530-A0C4-2CD03C8CF4E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1C37A-A6BD-4A71-A4E3-2F44AE6465A1}">
  <sheetPr codeName="Foglio1"/>
  <dimension ref="A2:F5"/>
  <sheetViews>
    <sheetView workbookViewId="0">
      <selection activeCell="I13" sqref="I13"/>
    </sheetView>
  </sheetViews>
  <sheetFormatPr defaultRowHeight="13.2" x14ac:dyDescent="0.25"/>
  <cols>
    <col min="1" max="1" width="20.44140625" customWidth="1"/>
    <col min="2" max="6" width="15.77734375" customWidth="1"/>
  </cols>
  <sheetData>
    <row r="2" spans="1:6" ht="58.8" customHeight="1" x14ac:dyDescent="0.25">
      <c r="A2" s="3"/>
      <c r="B2" s="3"/>
      <c r="C2" s="4" t="s">
        <v>2</v>
      </c>
      <c r="D2" s="4" t="s">
        <v>3</v>
      </c>
      <c r="E2" s="4" t="s">
        <v>4</v>
      </c>
      <c r="F2" s="4" t="s">
        <v>5</v>
      </c>
    </row>
    <row r="3" spans="1:6" ht="15" thickBot="1" x14ac:dyDescent="0.35">
      <c r="A3" s="1" t="s">
        <v>0</v>
      </c>
      <c r="B3" s="2">
        <v>40.688889000000003</v>
      </c>
      <c r="C3" s="2">
        <f>+B3+90</f>
        <v>130.68888900000002</v>
      </c>
      <c r="D3" s="2">
        <f>ROUND(C3*3600,0)</f>
        <v>470480</v>
      </c>
      <c r="E3" s="5" t="str">
        <f>ConvertToBase34(D3)</f>
        <v>DYZO</v>
      </c>
      <c r="F3" s="8" t="str">
        <f>Interleave(E3,E5)</f>
        <v>DBYP-ZYOV</v>
      </c>
    </row>
    <row r="4" spans="1:6" ht="5.4" customHeight="1" x14ac:dyDescent="0.25">
      <c r="F4" s="9"/>
    </row>
    <row r="5" spans="1:6" ht="15" thickBot="1" x14ac:dyDescent="0.35">
      <c r="A5" s="1" t="s">
        <v>1</v>
      </c>
      <c r="B5" s="2">
        <v>-74.044167000000002</v>
      </c>
      <c r="C5" s="2">
        <f>B5+180</f>
        <v>105.955833</v>
      </c>
      <c r="D5" s="2">
        <f>ROUND(C5*3600,0)</f>
        <v>381441</v>
      </c>
      <c r="E5" s="5" t="str">
        <f>ConvertToBase34(D5)</f>
        <v>BPYV</v>
      </c>
      <c r="F5" s="10"/>
    </row>
  </sheetData>
  <mergeCells count="1">
    <mergeCell ref="F3:F5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B75DF-C2A7-4CCE-BAE9-D8E5A16E384C}">
  <sheetPr codeName="Foglio2"/>
  <dimension ref="A6:Q39"/>
  <sheetViews>
    <sheetView tabSelected="1" workbookViewId="0">
      <selection activeCell="I2" sqref="I2"/>
    </sheetView>
  </sheetViews>
  <sheetFormatPr defaultRowHeight="10.199999999999999" x14ac:dyDescent="0.2"/>
  <cols>
    <col min="1" max="1" width="10" style="6" bestFit="1" customWidth="1"/>
    <col min="2" max="2" width="11.21875" style="7" customWidth="1"/>
    <col min="3" max="17" width="11.77734375" style="6" customWidth="1"/>
    <col min="18" max="16384" width="8.88671875" style="6"/>
  </cols>
  <sheetData>
    <row r="6" spans="1:17" x14ac:dyDescent="0.2">
      <c r="B6" s="7" t="s">
        <v>6</v>
      </c>
      <c r="C6" s="6" t="str">
        <f>Convert_Degree(C7,1)</f>
        <v>40°41'20,0" N</v>
      </c>
      <c r="D6" s="6" t="str">
        <f t="shared" ref="D6:L6" si="0">Convert_Degree(D7,1)</f>
        <v>40°41'21,0" N</v>
      </c>
      <c r="E6" s="6" t="str">
        <f t="shared" si="0"/>
        <v>40°41'22,0" N</v>
      </c>
      <c r="F6" s="6" t="str">
        <f t="shared" si="0"/>
        <v>40°41'23,0" N</v>
      </c>
      <c r="G6" s="6" t="str">
        <f t="shared" si="0"/>
        <v>40°41'24,0" N</v>
      </c>
      <c r="H6" s="6" t="str">
        <f t="shared" si="0"/>
        <v>40°41'25,0" N</v>
      </c>
      <c r="I6" s="6" t="str">
        <f t="shared" si="0"/>
        <v>40°41'26,0" N</v>
      </c>
      <c r="J6" s="6" t="str">
        <f t="shared" si="0"/>
        <v>40°41'27,0" N</v>
      </c>
      <c r="K6" s="6" t="str">
        <f t="shared" si="0"/>
        <v>40°41'28,0" N</v>
      </c>
      <c r="L6" s="6" t="str">
        <f t="shared" si="0"/>
        <v>40°41'29,0" N</v>
      </c>
      <c r="M6" s="6" t="str">
        <f>Convert_Degree(M7,1)</f>
        <v>40°41'30,0" N</v>
      </c>
      <c r="N6" s="6" t="str">
        <f>Convert_Degree(N7,1)</f>
        <v>40°41'31,0" N</v>
      </c>
      <c r="O6" s="6" t="str">
        <f>Convert_Degree(O7,1)</f>
        <v>40°41'32,0" N</v>
      </c>
      <c r="P6" s="6" t="str">
        <f>Convert_Degree(P7,1)</f>
        <v>40°41'33,0" N</v>
      </c>
      <c r="Q6" s="6" t="str">
        <f>Convert_Degree(Q7,1)</f>
        <v>40°41'34,0" N</v>
      </c>
    </row>
    <row r="7" spans="1:17" x14ac:dyDescent="0.2">
      <c r="A7" s="6" t="s">
        <v>6</v>
      </c>
      <c r="B7" s="7" t="s">
        <v>7</v>
      </c>
      <c r="C7" s="12">
        <v>40.688889000000003</v>
      </c>
      <c r="D7" s="12">
        <f>+C7+1/3600</f>
        <v>40.689166777777778</v>
      </c>
      <c r="E7" s="12">
        <f t="shared" ref="E7:Q7" si="1">+D7+1/3600</f>
        <v>40.689444555555554</v>
      </c>
      <c r="F7" s="12">
        <f t="shared" si="1"/>
        <v>40.689722333333329</v>
      </c>
      <c r="G7" s="12">
        <f t="shared" si="1"/>
        <v>40.690000111111104</v>
      </c>
      <c r="H7" s="12">
        <f t="shared" si="1"/>
        <v>40.690277888888879</v>
      </c>
      <c r="I7" s="12">
        <f t="shared" si="1"/>
        <v>40.690555666666654</v>
      </c>
      <c r="J7" s="12">
        <f t="shared" si="1"/>
        <v>40.690833444444429</v>
      </c>
      <c r="K7" s="12">
        <f t="shared" si="1"/>
        <v>40.691111222222204</v>
      </c>
      <c r="L7" s="12">
        <f t="shared" si="1"/>
        <v>40.69138899999998</v>
      </c>
      <c r="M7" s="12">
        <f t="shared" si="1"/>
        <v>40.691666777777755</v>
      </c>
      <c r="N7" s="12">
        <f t="shared" si="1"/>
        <v>40.69194455555553</v>
      </c>
      <c r="O7" s="12">
        <f t="shared" si="1"/>
        <v>40.692222333333305</v>
      </c>
      <c r="P7" s="12">
        <f t="shared" si="1"/>
        <v>40.69250011111108</v>
      </c>
      <c r="Q7" s="12">
        <f t="shared" si="1"/>
        <v>40.692777888888855</v>
      </c>
    </row>
    <row r="8" spans="1:17" ht="13.2" x14ac:dyDescent="0.25">
      <c r="A8" s="6" t="str">
        <f>Convert_Degree(B8,0)</f>
        <v>74°02'39,0" W</v>
      </c>
      <c r="B8" s="12">
        <v>-74.044167000000002</v>
      </c>
      <c r="C8" t="str">
        <f t="shared" ref="C8:D28" si="2">MakeLocationsCode(C$7,$B8)</f>
        <v>DBYP-ZYOV</v>
      </c>
      <c r="D8" t="str">
        <f t="shared" si="2"/>
        <v>DBYP-ZYPV</v>
      </c>
      <c r="E8" t="str">
        <f t="shared" ref="E8:Q23" si="3">MakeLocationsCode(E$7,$B8)</f>
        <v>DBYP-ZYQV</v>
      </c>
      <c r="F8" t="str">
        <f t="shared" si="3"/>
        <v>DBYP-ZYRV</v>
      </c>
      <c r="G8" t="str">
        <f t="shared" si="3"/>
        <v>DBYP-ZYSV</v>
      </c>
      <c r="H8" t="str">
        <f t="shared" si="3"/>
        <v>DBYP-ZYTV</v>
      </c>
      <c r="I8" t="str">
        <f t="shared" si="3"/>
        <v>DBYP-ZYUV</v>
      </c>
      <c r="J8" t="str">
        <f t="shared" si="3"/>
        <v>DBYP-ZYVV</v>
      </c>
      <c r="K8" t="str">
        <f t="shared" si="3"/>
        <v>DBYP-ZYWV</v>
      </c>
      <c r="L8" t="str">
        <f t="shared" si="3"/>
        <v>DBYP-ZYXV</v>
      </c>
      <c r="M8" t="str">
        <f t="shared" si="3"/>
        <v>DBYP-ZYYV</v>
      </c>
      <c r="N8" t="str">
        <f t="shared" si="3"/>
        <v>DBYP-ZYZV</v>
      </c>
      <c r="O8" t="str">
        <f t="shared" si="3"/>
        <v>DBZP-2Y2V</v>
      </c>
      <c r="P8" t="str">
        <f t="shared" si="3"/>
        <v>DBZP-2Y3V</v>
      </c>
      <c r="Q8" t="str">
        <f t="shared" si="3"/>
        <v>DBZP-2Y4V</v>
      </c>
    </row>
    <row r="9" spans="1:17" ht="13.2" x14ac:dyDescent="0.25">
      <c r="A9" s="6" t="str">
        <f t="shared" ref="A9:A39" si="4">Convert_Degree(B9,0)</f>
        <v>74°02'38,0" W</v>
      </c>
      <c r="B9" s="12">
        <f>+B8+1/3600</f>
        <v>-74.043889222222219</v>
      </c>
      <c r="C9" t="str">
        <f t="shared" si="2"/>
        <v>DBYP-ZYOW</v>
      </c>
      <c r="D9" t="str">
        <f t="shared" si="2"/>
        <v>DBYP-ZYPW</v>
      </c>
      <c r="E9" t="str">
        <f t="shared" si="3"/>
        <v>DBYP-ZYQW</v>
      </c>
      <c r="F9" t="str">
        <f t="shared" si="3"/>
        <v>DBYP-ZYRW</v>
      </c>
      <c r="G9" t="str">
        <f t="shared" si="3"/>
        <v>DBYP-ZYSW</v>
      </c>
      <c r="H9" t="str">
        <f t="shared" si="3"/>
        <v>DBYP-ZYTW</v>
      </c>
      <c r="I9" t="str">
        <f t="shared" si="3"/>
        <v>DBYP-ZYUW</v>
      </c>
      <c r="J9" t="str">
        <f t="shared" si="3"/>
        <v>DBYP-ZYVW</v>
      </c>
      <c r="K9" t="str">
        <f t="shared" si="3"/>
        <v>DBYP-ZYWW</v>
      </c>
      <c r="L9" t="str">
        <f t="shared" si="3"/>
        <v>DBYP-ZYXW</v>
      </c>
      <c r="M9" t="str">
        <f t="shared" si="3"/>
        <v>DBYP-ZYYW</v>
      </c>
      <c r="N9" t="str">
        <f t="shared" si="3"/>
        <v>DBYP-ZYZW</v>
      </c>
      <c r="O9" t="str">
        <f t="shared" si="3"/>
        <v>DBZP-2Y2W</v>
      </c>
      <c r="P9" t="str">
        <f t="shared" si="3"/>
        <v>DBZP-2Y3W</v>
      </c>
      <c r="Q9" t="str">
        <f t="shared" si="3"/>
        <v>DBZP-2Y4W</v>
      </c>
    </row>
    <row r="10" spans="1:17" ht="13.2" x14ac:dyDescent="0.25">
      <c r="A10" s="6" t="str">
        <f t="shared" si="4"/>
        <v>74°02'37,0" W</v>
      </c>
      <c r="B10" s="12">
        <f t="shared" ref="B10:B39" si="5">+B9+1/3600</f>
        <v>-74.043611444444437</v>
      </c>
      <c r="C10" t="str">
        <f t="shared" si="2"/>
        <v>DBYP-ZYOX</v>
      </c>
      <c r="D10" t="str">
        <f t="shared" si="2"/>
        <v>DBYP-ZYPX</v>
      </c>
      <c r="E10" t="str">
        <f t="shared" si="3"/>
        <v>DBYP-ZYQX</v>
      </c>
      <c r="F10" t="str">
        <f t="shared" si="3"/>
        <v>DBYP-ZYRX</v>
      </c>
      <c r="G10" t="str">
        <f t="shared" si="3"/>
        <v>DBYP-ZYSX</v>
      </c>
      <c r="H10" t="str">
        <f t="shared" si="3"/>
        <v>DBYP-ZYTX</v>
      </c>
      <c r="I10" t="str">
        <f t="shared" si="3"/>
        <v>DBYP-ZYUX</v>
      </c>
      <c r="J10" t="str">
        <f t="shared" si="3"/>
        <v>DBYP-ZYVX</v>
      </c>
      <c r="K10" t="str">
        <f t="shared" si="3"/>
        <v>DBYP-ZYWX</v>
      </c>
      <c r="L10" t="str">
        <f t="shared" si="3"/>
        <v>DBYP-ZYXX</v>
      </c>
      <c r="M10" t="str">
        <f t="shared" si="3"/>
        <v>DBYP-ZYYX</v>
      </c>
      <c r="N10" t="str">
        <f t="shared" si="3"/>
        <v>DBYP-ZYZX</v>
      </c>
      <c r="O10" t="str">
        <f t="shared" si="3"/>
        <v>DBZP-2Y2X</v>
      </c>
      <c r="P10" t="str">
        <f t="shared" si="3"/>
        <v>DBZP-2Y3X</v>
      </c>
      <c r="Q10" t="str">
        <f t="shared" si="3"/>
        <v>DBZP-2Y4X</v>
      </c>
    </row>
    <row r="11" spans="1:17" ht="13.2" x14ac:dyDescent="0.25">
      <c r="A11" s="6" t="str">
        <f t="shared" si="4"/>
        <v>74°02'36,0" W</v>
      </c>
      <c r="B11" s="12">
        <f t="shared" si="5"/>
        <v>-74.043333666666655</v>
      </c>
      <c r="C11" t="str">
        <f t="shared" si="2"/>
        <v>DBYP-ZYOY</v>
      </c>
      <c r="D11" t="str">
        <f t="shared" si="2"/>
        <v>DBYP-ZYPY</v>
      </c>
      <c r="E11" t="str">
        <f t="shared" si="3"/>
        <v>DBYP-ZYQY</v>
      </c>
      <c r="F11" t="str">
        <f t="shared" si="3"/>
        <v>DBYP-ZYRY</v>
      </c>
      <c r="G11" t="str">
        <f t="shared" si="3"/>
        <v>DBYP-ZYSY</v>
      </c>
      <c r="H11" t="str">
        <f t="shared" si="3"/>
        <v>DBYP-ZYTY</v>
      </c>
      <c r="I11" t="str">
        <f t="shared" si="3"/>
        <v>DBYP-ZYUY</v>
      </c>
      <c r="J11" t="str">
        <f t="shared" si="3"/>
        <v>DBYP-ZYVY</v>
      </c>
      <c r="K11" t="str">
        <f t="shared" si="3"/>
        <v>DBYP-ZYWY</v>
      </c>
      <c r="L11" t="str">
        <f t="shared" si="3"/>
        <v>DBYP-ZYXY</v>
      </c>
      <c r="M11" t="str">
        <f t="shared" si="3"/>
        <v>DBYP-ZYYY</v>
      </c>
      <c r="N11" t="str">
        <f t="shared" si="3"/>
        <v>DBYP-ZYZY</v>
      </c>
      <c r="O11" t="str">
        <f t="shared" si="3"/>
        <v>DBZP-2Y2Y</v>
      </c>
      <c r="P11" t="str">
        <f t="shared" si="3"/>
        <v>DBZP-2Y3Y</v>
      </c>
      <c r="Q11" t="str">
        <f t="shared" si="3"/>
        <v>DBZP-2Y4Y</v>
      </c>
    </row>
    <row r="12" spans="1:17" ht="13.2" x14ac:dyDescent="0.25">
      <c r="A12" s="6" t="str">
        <f t="shared" si="4"/>
        <v>74°02'35,0" W</v>
      </c>
      <c r="B12" s="12">
        <f t="shared" si="5"/>
        <v>-74.043055888888873</v>
      </c>
      <c r="C12" t="str">
        <f t="shared" si="2"/>
        <v>DBYP-ZYOZ</v>
      </c>
      <c r="D12" t="str">
        <f t="shared" si="2"/>
        <v>DBYP-ZYPZ</v>
      </c>
      <c r="E12" t="str">
        <f t="shared" si="3"/>
        <v>DBYP-ZYQZ</v>
      </c>
      <c r="F12" t="str">
        <f t="shared" si="3"/>
        <v>DBYP-ZYRZ</v>
      </c>
      <c r="G12" t="str">
        <f t="shared" si="3"/>
        <v>DBYP-ZYSZ</v>
      </c>
      <c r="H12" t="str">
        <f t="shared" si="3"/>
        <v>DBYP-ZYTZ</v>
      </c>
      <c r="I12" t="str">
        <f t="shared" si="3"/>
        <v>DBYP-ZYUZ</v>
      </c>
      <c r="J12" t="str">
        <f t="shared" si="3"/>
        <v>DBYP-ZYVZ</v>
      </c>
      <c r="K12" t="str">
        <f t="shared" si="3"/>
        <v>DBYP-ZYWZ</v>
      </c>
      <c r="L12" t="str">
        <f t="shared" si="3"/>
        <v>DBYP-ZYXZ</v>
      </c>
      <c r="M12" t="str">
        <f t="shared" si="3"/>
        <v>DBYP-ZYYZ</v>
      </c>
      <c r="N12" t="str">
        <f t="shared" si="3"/>
        <v>DBYP-ZYZZ</v>
      </c>
      <c r="O12" t="str">
        <f t="shared" si="3"/>
        <v>DBZP-2Y2Z</v>
      </c>
      <c r="P12" t="str">
        <f t="shared" si="3"/>
        <v>DBZP-2Y3Z</v>
      </c>
      <c r="Q12" t="str">
        <f t="shared" si="3"/>
        <v>DBZP-2Y4Z</v>
      </c>
    </row>
    <row r="13" spans="1:17" ht="13.2" x14ac:dyDescent="0.25">
      <c r="A13" s="6" t="str">
        <f t="shared" si="4"/>
        <v>74°02'34,0" W</v>
      </c>
      <c r="B13" s="12">
        <f t="shared" si="5"/>
        <v>-74.04277811111109</v>
      </c>
      <c r="C13" t="str">
        <f t="shared" si="2"/>
        <v>DBYP-ZZO2</v>
      </c>
      <c r="D13" t="str">
        <f t="shared" si="2"/>
        <v>DBYP-ZZP2</v>
      </c>
      <c r="E13" t="str">
        <f t="shared" si="3"/>
        <v>DBYP-ZZQ2</v>
      </c>
      <c r="F13" t="str">
        <f t="shared" si="3"/>
        <v>DBYP-ZZR2</v>
      </c>
      <c r="G13" t="str">
        <f t="shared" si="3"/>
        <v>DBYP-ZZS2</v>
      </c>
      <c r="H13" t="str">
        <f t="shared" si="3"/>
        <v>DBYP-ZZT2</v>
      </c>
      <c r="I13" t="str">
        <f t="shared" si="3"/>
        <v>DBYP-ZZU2</v>
      </c>
      <c r="J13" t="str">
        <f t="shared" si="3"/>
        <v>DBYP-ZZV2</v>
      </c>
      <c r="K13" t="str">
        <f t="shared" si="3"/>
        <v>DBYP-ZZW2</v>
      </c>
      <c r="L13" t="str">
        <f t="shared" si="3"/>
        <v>DBYP-ZZX2</v>
      </c>
      <c r="M13" t="str">
        <f t="shared" si="3"/>
        <v>DBYP-ZZY2</v>
      </c>
      <c r="N13" t="str">
        <f t="shared" si="3"/>
        <v>DBYP-ZZZ2</v>
      </c>
      <c r="O13" t="str">
        <f t="shared" si="3"/>
        <v>DBZP-2Z22</v>
      </c>
      <c r="P13" t="str">
        <f t="shared" si="3"/>
        <v>DBZP-2Z32</v>
      </c>
      <c r="Q13" t="str">
        <f t="shared" si="3"/>
        <v>DBZP-2Z42</v>
      </c>
    </row>
    <row r="14" spans="1:17" ht="13.2" x14ac:dyDescent="0.25">
      <c r="A14" s="6" t="str">
        <f t="shared" si="4"/>
        <v>74°02'33,0" W</v>
      </c>
      <c r="B14" s="12">
        <f t="shared" si="5"/>
        <v>-74.042500333333308</v>
      </c>
      <c r="C14" t="str">
        <f t="shared" si="2"/>
        <v>DBYP-ZZO3</v>
      </c>
      <c r="D14" t="str">
        <f t="shared" si="2"/>
        <v>DBYP-ZZP3</v>
      </c>
      <c r="E14" t="str">
        <f t="shared" si="3"/>
        <v>DBYP-ZZQ3</v>
      </c>
      <c r="F14" t="str">
        <f t="shared" si="3"/>
        <v>DBYP-ZZR3</v>
      </c>
      <c r="G14" t="str">
        <f t="shared" si="3"/>
        <v>DBYP-ZZS3</v>
      </c>
      <c r="H14" t="str">
        <f t="shared" si="3"/>
        <v>DBYP-ZZT3</v>
      </c>
      <c r="I14" t="str">
        <f t="shared" si="3"/>
        <v>DBYP-ZZU3</v>
      </c>
      <c r="J14" t="str">
        <f t="shared" si="3"/>
        <v>DBYP-ZZV3</v>
      </c>
      <c r="K14" t="str">
        <f t="shared" si="3"/>
        <v>DBYP-ZZW3</v>
      </c>
      <c r="L14" t="str">
        <f t="shared" si="3"/>
        <v>DBYP-ZZX3</v>
      </c>
      <c r="M14" t="str">
        <f t="shared" si="3"/>
        <v>DBYP-ZZY3</v>
      </c>
      <c r="N14" t="str">
        <f t="shared" si="3"/>
        <v>DBYP-ZZZ3</v>
      </c>
      <c r="O14" t="str">
        <f t="shared" si="3"/>
        <v>DBZP-2Z23</v>
      </c>
      <c r="P14" t="str">
        <f t="shared" si="3"/>
        <v>DBZP-2Z33</v>
      </c>
      <c r="Q14" t="str">
        <f t="shared" si="3"/>
        <v>DBZP-2Z43</v>
      </c>
    </row>
    <row r="15" spans="1:17" ht="13.2" x14ac:dyDescent="0.25">
      <c r="A15" s="6" t="str">
        <f t="shared" si="4"/>
        <v>74°02'32,0" W</v>
      </c>
      <c r="B15" s="12">
        <f t="shared" si="5"/>
        <v>-74.042222555555526</v>
      </c>
      <c r="C15" t="str">
        <f t="shared" si="2"/>
        <v>DBYP-ZZO4</v>
      </c>
      <c r="D15" t="str">
        <f t="shared" si="2"/>
        <v>DBYP-ZZP4</v>
      </c>
      <c r="E15" t="str">
        <f t="shared" si="3"/>
        <v>DBYP-ZZQ4</v>
      </c>
      <c r="F15" t="str">
        <f t="shared" si="3"/>
        <v>DBYP-ZZR4</v>
      </c>
      <c r="G15" t="str">
        <f t="shared" si="3"/>
        <v>DBYP-ZZS4</v>
      </c>
      <c r="H15" t="str">
        <f t="shared" si="3"/>
        <v>DBYP-ZZT4</v>
      </c>
      <c r="I15" t="str">
        <f t="shared" si="3"/>
        <v>DBYP-ZZU4</v>
      </c>
      <c r="J15" t="str">
        <f t="shared" si="3"/>
        <v>DBYP-ZZV4</v>
      </c>
      <c r="K15" t="str">
        <f t="shared" si="3"/>
        <v>DBYP-ZZW4</v>
      </c>
      <c r="L15" t="str">
        <f t="shared" si="3"/>
        <v>DBYP-ZZX4</v>
      </c>
      <c r="M15" t="str">
        <f t="shared" si="3"/>
        <v>DBYP-ZZY4</v>
      </c>
      <c r="N15" t="str">
        <f t="shared" si="3"/>
        <v>DBYP-ZZZ4</v>
      </c>
      <c r="O15" t="str">
        <f t="shared" si="3"/>
        <v>DBZP-2Z24</v>
      </c>
      <c r="P15" t="str">
        <f t="shared" si="3"/>
        <v>DBZP-2Z34</v>
      </c>
      <c r="Q15" t="str">
        <f t="shared" si="3"/>
        <v>DBZP-2Z44</v>
      </c>
    </row>
    <row r="16" spans="1:17" ht="13.2" x14ac:dyDescent="0.25">
      <c r="A16" s="6" t="str">
        <f t="shared" si="4"/>
        <v>74°02'31,0" W</v>
      </c>
      <c r="B16" s="12">
        <f t="shared" si="5"/>
        <v>-74.041944777777744</v>
      </c>
      <c r="C16" t="str">
        <f t="shared" si="2"/>
        <v>DBYP-ZZO5</v>
      </c>
      <c r="D16" t="str">
        <f t="shared" si="2"/>
        <v>DBYP-ZZP5</v>
      </c>
      <c r="E16" t="str">
        <f t="shared" si="3"/>
        <v>DBYP-ZZQ5</v>
      </c>
      <c r="F16" t="str">
        <f t="shared" si="3"/>
        <v>DBYP-ZZR5</v>
      </c>
      <c r="G16" t="str">
        <f t="shared" si="3"/>
        <v>DBYP-ZZS5</v>
      </c>
      <c r="H16" t="str">
        <f t="shared" si="3"/>
        <v>DBYP-ZZT5</v>
      </c>
      <c r="I16" t="str">
        <f t="shared" si="3"/>
        <v>DBYP-ZZU5</v>
      </c>
      <c r="J16" t="str">
        <f t="shared" si="3"/>
        <v>DBYP-ZZV5</v>
      </c>
      <c r="K16" t="str">
        <f t="shared" si="3"/>
        <v>DBYP-ZZW5</v>
      </c>
      <c r="L16" t="str">
        <f t="shared" si="3"/>
        <v>DBYP-ZZX5</v>
      </c>
      <c r="M16" t="str">
        <f t="shared" si="3"/>
        <v>DBYP-ZZY5</v>
      </c>
      <c r="N16" t="str">
        <f t="shared" si="3"/>
        <v>DBYP-ZZZ5</v>
      </c>
      <c r="O16" t="str">
        <f t="shared" si="3"/>
        <v>DBZP-2Z25</v>
      </c>
      <c r="P16" t="str">
        <f t="shared" si="3"/>
        <v>DBZP-2Z35</v>
      </c>
      <c r="Q16" t="str">
        <f t="shared" si="3"/>
        <v>DBZP-2Z45</v>
      </c>
    </row>
    <row r="17" spans="1:17" ht="13.2" x14ac:dyDescent="0.25">
      <c r="A17" s="6" t="str">
        <f t="shared" si="4"/>
        <v>74°02'30,0" W</v>
      </c>
      <c r="B17" s="12">
        <f t="shared" si="5"/>
        <v>-74.041666999999961</v>
      </c>
      <c r="C17" t="str">
        <f t="shared" si="2"/>
        <v>DBYP-ZZO6</v>
      </c>
      <c r="D17" t="str">
        <f t="shared" si="2"/>
        <v>DBYP-ZZP6</v>
      </c>
      <c r="E17" t="str">
        <f t="shared" si="3"/>
        <v>DBYP-ZZQ6</v>
      </c>
      <c r="F17" t="str">
        <f t="shared" si="3"/>
        <v>DBYP-ZZR6</v>
      </c>
      <c r="G17" t="str">
        <f t="shared" si="3"/>
        <v>DBYP-ZZS6</v>
      </c>
      <c r="H17" t="str">
        <f t="shared" si="3"/>
        <v>DBYP-ZZT6</v>
      </c>
      <c r="I17" t="str">
        <f t="shared" si="3"/>
        <v>DBYP-ZZU6</v>
      </c>
      <c r="J17" t="str">
        <f t="shared" si="3"/>
        <v>DBYP-ZZV6</v>
      </c>
      <c r="K17" t="str">
        <f t="shared" si="3"/>
        <v>DBYP-ZZW6</v>
      </c>
      <c r="L17" t="str">
        <f t="shared" si="3"/>
        <v>DBYP-ZZX6</v>
      </c>
      <c r="M17" t="str">
        <f t="shared" si="3"/>
        <v>DBYP-ZZY6</v>
      </c>
      <c r="N17" t="str">
        <f t="shared" si="3"/>
        <v>DBYP-ZZZ6</v>
      </c>
      <c r="O17" t="str">
        <f t="shared" si="3"/>
        <v>DBZP-2Z26</v>
      </c>
      <c r="P17" t="str">
        <f t="shared" si="3"/>
        <v>DBZP-2Z36</v>
      </c>
      <c r="Q17" t="str">
        <f t="shared" si="3"/>
        <v>DBZP-2Z46</v>
      </c>
    </row>
    <row r="18" spans="1:17" ht="13.2" x14ac:dyDescent="0.25">
      <c r="A18" s="6" t="str">
        <f t="shared" si="4"/>
        <v>74°02'29,0" W</v>
      </c>
      <c r="B18" s="12">
        <f t="shared" si="5"/>
        <v>-74.041389222222179</v>
      </c>
      <c r="C18" t="str">
        <f t="shared" si="2"/>
        <v>DBYP-ZZO7</v>
      </c>
      <c r="D18" t="str">
        <f t="shared" si="2"/>
        <v>DBYP-ZZP7</v>
      </c>
      <c r="E18" t="str">
        <f t="shared" si="3"/>
        <v>DBYP-ZZQ7</v>
      </c>
      <c r="F18" t="str">
        <f t="shared" si="3"/>
        <v>DBYP-ZZR7</v>
      </c>
      <c r="G18" t="str">
        <f t="shared" si="3"/>
        <v>DBYP-ZZS7</v>
      </c>
      <c r="H18" t="str">
        <f t="shared" si="3"/>
        <v>DBYP-ZZT7</v>
      </c>
      <c r="I18" t="str">
        <f t="shared" si="3"/>
        <v>DBYP-ZZU7</v>
      </c>
      <c r="J18" t="str">
        <f t="shared" si="3"/>
        <v>DBYP-ZZV7</v>
      </c>
      <c r="K18" t="str">
        <f t="shared" si="3"/>
        <v>DBYP-ZZW7</v>
      </c>
      <c r="L18" t="str">
        <f t="shared" si="3"/>
        <v>DBYP-ZZX7</v>
      </c>
      <c r="M18" t="str">
        <f t="shared" si="3"/>
        <v>DBYP-ZZY7</v>
      </c>
      <c r="N18" t="str">
        <f t="shared" si="3"/>
        <v>DBYP-ZZZ7</v>
      </c>
      <c r="O18" t="str">
        <f t="shared" si="3"/>
        <v>DBZP-2Z27</v>
      </c>
      <c r="P18" t="str">
        <f t="shared" si="3"/>
        <v>DBZP-2Z37</v>
      </c>
      <c r="Q18" t="str">
        <f t="shared" si="3"/>
        <v>DBZP-2Z47</v>
      </c>
    </row>
    <row r="19" spans="1:17" ht="13.2" x14ac:dyDescent="0.25">
      <c r="A19" s="6" t="str">
        <f t="shared" si="4"/>
        <v>74°02'28,0" W</v>
      </c>
      <c r="B19" s="12">
        <f t="shared" si="5"/>
        <v>-74.041111444444397</v>
      </c>
      <c r="C19" t="str">
        <f t="shared" si="2"/>
        <v>DBYP-ZZO8</v>
      </c>
      <c r="D19" t="str">
        <f t="shared" si="2"/>
        <v>DBYP-ZZP8</v>
      </c>
      <c r="E19" t="str">
        <f t="shared" si="3"/>
        <v>DBYP-ZZQ8</v>
      </c>
      <c r="F19" t="str">
        <f t="shared" si="3"/>
        <v>DBYP-ZZR8</v>
      </c>
      <c r="G19" t="str">
        <f t="shared" si="3"/>
        <v>DBYP-ZZS8</v>
      </c>
      <c r="H19" t="str">
        <f t="shared" si="3"/>
        <v>DBYP-ZZT8</v>
      </c>
      <c r="I19" t="str">
        <f t="shared" si="3"/>
        <v>DBYP-ZZU8</v>
      </c>
      <c r="J19" t="str">
        <f t="shared" si="3"/>
        <v>DBYP-ZZV8</v>
      </c>
      <c r="K19" t="str">
        <f t="shared" si="3"/>
        <v>DBYP-ZZW8</v>
      </c>
      <c r="L19" t="str">
        <f t="shared" si="3"/>
        <v>DBYP-ZZX8</v>
      </c>
      <c r="M19" t="str">
        <f t="shared" si="3"/>
        <v>DBYP-ZZY8</v>
      </c>
      <c r="N19" t="str">
        <f t="shared" si="3"/>
        <v>DBYP-ZZZ8</v>
      </c>
      <c r="O19" t="str">
        <f t="shared" si="3"/>
        <v>DBZP-2Z28</v>
      </c>
      <c r="P19" t="str">
        <f t="shared" si="3"/>
        <v>DBZP-2Z38</v>
      </c>
      <c r="Q19" t="str">
        <f t="shared" si="3"/>
        <v>DBZP-2Z48</v>
      </c>
    </row>
    <row r="20" spans="1:17" ht="13.2" x14ac:dyDescent="0.25">
      <c r="A20" s="6" t="str">
        <f t="shared" si="4"/>
        <v>74°02'27,0" W</v>
      </c>
      <c r="B20" s="12">
        <f t="shared" si="5"/>
        <v>-74.040833666666614</v>
      </c>
      <c r="C20" t="str">
        <f t="shared" si="2"/>
        <v>DBYP-ZZO9</v>
      </c>
      <c r="D20" t="str">
        <f t="shared" si="2"/>
        <v>DBYP-ZZP9</v>
      </c>
      <c r="E20" t="str">
        <f t="shared" si="3"/>
        <v>DBYP-ZZQ9</v>
      </c>
      <c r="F20" t="str">
        <f t="shared" si="3"/>
        <v>DBYP-ZZR9</v>
      </c>
      <c r="G20" t="str">
        <f t="shared" si="3"/>
        <v>DBYP-ZZS9</v>
      </c>
      <c r="H20" t="str">
        <f t="shared" si="3"/>
        <v>DBYP-ZZT9</v>
      </c>
      <c r="I20" t="str">
        <f t="shared" si="3"/>
        <v>DBYP-ZZU9</v>
      </c>
      <c r="J20" t="str">
        <f t="shared" si="3"/>
        <v>DBYP-ZZV9</v>
      </c>
      <c r="K20" t="str">
        <f t="shared" si="3"/>
        <v>DBYP-ZZW9</v>
      </c>
      <c r="L20" t="str">
        <f t="shared" si="3"/>
        <v>DBYP-ZZX9</v>
      </c>
      <c r="M20" t="str">
        <f t="shared" si="3"/>
        <v>DBYP-ZZY9</v>
      </c>
      <c r="N20" t="str">
        <f t="shared" si="3"/>
        <v>DBYP-ZZZ9</v>
      </c>
      <c r="O20" t="str">
        <f t="shared" si="3"/>
        <v>DBZP-2Z29</v>
      </c>
      <c r="P20" t="str">
        <f t="shared" si="3"/>
        <v>DBZP-2Z39</v>
      </c>
      <c r="Q20" t="str">
        <f t="shared" si="3"/>
        <v>DBZP-2Z49</v>
      </c>
    </row>
    <row r="21" spans="1:17" ht="13.2" x14ac:dyDescent="0.25">
      <c r="A21" s="6" t="str">
        <f t="shared" si="4"/>
        <v>74°02'26,0" W</v>
      </c>
      <c r="B21" s="12">
        <f t="shared" si="5"/>
        <v>-74.040555888888832</v>
      </c>
      <c r="C21" t="str">
        <f t="shared" si="2"/>
        <v>DBYP-ZZOA</v>
      </c>
      <c r="D21" t="str">
        <f t="shared" si="2"/>
        <v>DBYP-ZZPA</v>
      </c>
      <c r="E21" t="str">
        <f t="shared" si="3"/>
        <v>DBYP-ZZQA</v>
      </c>
      <c r="F21" t="str">
        <f t="shared" si="3"/>
        <v>DBYP-ZZRA</v>
      </c>
      <c r="G21" t="str">
        <f t="shared" si="3"/>
        <v>DBYP-ZZSA</v>
      </c>
      <c r="H21" t="str">
        <f t="shared" si="3"/>
        <v>DBYP-ZZTA</v>
      </c>
      <c r="I21" t="str">
        <f t="shared" si="3"/>
        <v>DBYP-ZZUA</v>
      </c>
      <c r="J21" t="str">
        <f t="shared" si="3"/>
        <v>DBYP-ZZVA</v>
      </c>
      <c r="K21" t="str">
        <f t="shared" si="3"/>
        <v>DBYP-ZZWA</v>
      </c>
      <c r="L21" t="str">
        <f t="shared" si="3"/>
        <v>DBYP-ZZXA</v>
      </c>
      <c r="M21" t="str">
        <f t="shared" si="3"/>
        <v>DBYP-ZZYA</v>
      </c>
      <c r="N21" t="str">
        <f t="shared" si="3"/>
        <v>DBYP-ZZZA</v>
      </c>
      <c r="O21" t="str">
        <f t="shared" si="3"/>
        <v>DBZP-2Z2A</v>
      </c>
      <c r="P21" t="str">
        <f t="shared" si="3"/>
        <v>DBZP-2Z3A</v>
      </c>
      <c r="Q21" t="str">
        <f t="shared" si="3"/>
        <v>DBZP-2Z4A</v>
      </c>
    </row>
    <row r="22" spans="1:17" ht="13.2" x14ac:dyDescent="0.25">
      <c r="A22" s="6" t="str">
        <f t="shared" si="4"/>
        <v>74°02'25,0" W</v>
      </c>
      <c r="B22" s="12">
        <f t="shared" si="5"/>
        <v>-74.04027811111105</v>
      </c>
      <c r="C22" t="str">
        <f t="shared" si="2"/>
        <v>DBYP-ZZOB</v>
      </c>
      <c r="D22" t="str">
        <f t="shared" si="2"/>
        <v>DBYP-ZZPB</v>
      </c>
      <c r="E22" t="str">
        <f t="shared" si="3"/>
        <v>DBYP-ZZQB</v>
      </c>
      <c r="F22" t="str">
        <f t="shared" si="3"/>
        <v>DBYP-ZZRB</v>
      </c>
      <c r="G22" t="str">
        <f t="shared" si="3"/>
        <v>DBYP-ZZSB</v>
      </c>
      <c r="H22" t="str">
        <f t="shared" si="3"/>
        <v>DBYP-ZZTB</v>
      </c>
      <c r="I22" t="str">
        <f t="shared" si="3"/>
        <v>DBYP-ZZUB</v>
      </c>
      <c r="J22" t="str">
        <f t="shared" si="3"/>
        <v>DBYP-ZZVB</v>
      </c>
      <c r="K22" t="str">
        <f t="shared" si="3"/>
        <v>DBYP-ZZWB</v>
      </c>
      <c r="L22" t="str">
        <f t="shared" si="3"/>
        <v>DBYP-ZZXB</v>
      </c>
      <c r="M22" t="str">
        <f t="shared" si="3"/>
        <v>DBYP-ZZYB</v>
      </c>
      <c r="N22" t="str">
        <f t="shared" si="3"/>
        <v>DBYP-ZZZB</v>
      </c>
      <c r="O22" t="str">
        <f t="shared" si="3"/>
        <v>DBZP-2Z2B</v>
      </c>
      <c r="P22" t="str">
        <f t="shared" si="3"/>
        <v>DBZP-2Z3B</v>
      </c>
      <c r="Q22" t="str">
        <f t="shared" si="3"/>
        <v>DBZP-2Z4B</v>
      </c>
    </row>
    <row r="23" spans="1:17" ht="13.2" x14ac:dyDescent="0.25">
      <c r="A23" s="6" t="str">
        <f t="shared" si="4"/>
        <v>74°02'24,0" W</v>
      </c>
      <c r="B23" s="12">
        <f t="shared" si="5"/>
        <v>-74.040000333333268</v>
      </c>
      <c r="C23" t="str">
        <f t="shared" si="2"/>
        <v>DBYP-ZZOC</v>
      </c>
      <c r="D23" t="str">
        <f t="shared" si="2"/>
        <v>DBYP-ZZPC</v>
      </c>
      <c r="E23" t="str">
        <f t="shared" si="3"/>
        <v>DBYP-ZZQC</v>
      </c>
      <c r="F23" t="str">
        <f t="shared" si="3"/>
        <v>DBYP-ZZRC</v>
      </c>
      <c r="G23" t="str">
        <f t="shared" si="3"/>
        <v>DBYP-ZZSC</v>
      </c>
      <c r="H23" t="str">
        <f t="shared" si="3"/>
        <v>DBYP-ZZTC</v>
      </c>
      <c r="I23" t="str">
        <f t="shared" si="3"/>
        <v>DBYP-ZZUC</v>
      </c>
      <c r="J23" t="str">
        <f t="shared" si="3"/>
        <v>DBYP-ZZVC</v>
      </c>
      <c r="K23" t="str">
        <f t="shared" si="3"/>
        <v>DBYP-ZZWC</v>
      </c>
      <c r="L23" t="str">
        <f t="shared" si="3"/>
        <v>DBYP-ZZXC</v>
      </c>
      <c r="M23" t="str">
        <f t="shared" si="3"/>
        <v>DBYP-ZZYC</v>
      </c>
      <c r="N23" t="str">
        <f t="shared" si="3"/>
        <v>DBYP-ZZZC</v>
      </c>
      <c r="O23" t="str">
        <f t="shared" si="3"/>
        <v>DBZP-2Z2C</v>
      </c>
      <c r="P23" t="str">
        <f t="shared" si="3"/>
        <v>DBZP-2Z3C</v>
      </c>
      <c r="Q23" t="str">
        <f t="shared" si="3"/>
        <v>DBZP-2Z4C</v>
      </c>
    </row>
    <row r="24" spans="1:17" ht="13.2" x14ac:dyDescent="0.25">
      <c r="A24" s="6" t="str">
        <f t="shared" si="4"/>
        <v>74°02'23,0" W</v>
      </c>
      <c r="B24" s="12">
        <f t="shared" si="5"/>
        <v>-74.039722555555485</v>
      </c>
      <c r="C24" t="str">
        <f t="shared" si="2"/>
        <v>DBYP-ZZOD</v>
      </c>
      <c r="D24" t="str">
        <f t="shared" si="2"/>
        <v>DBYP-ZZPD</v>
      </c>
      <c r="E24" t="str">
        <f t="shared" ref="E24:Q28" si="6">MakeLocationsCode(E$7,$B24)</f>
        <v>DBYP-ZZQD</v>
      </c>
      <c r="F24" t="str">
        <f t="shared" si="6"/>
        <v>DBYP-ZZRD</v>
      </c>
      <c r="G24" t="str">
        <f t="shared" si="6"/>
        <v>DBYP-ZZSD</v>
      </c>
      <c r="H24" t="str">
        <f t="shared" si="6"/>
        <v>DBYP-ZZTD</v>
      </c>
      <c r="I24" t="str">
        <f t="shared" si="6"/>
        <v>DBYP-ZZUD</v>
      </c>
      <c r="J24" t="str">
        <f t="shared" si="6"/>
        <v>DBYP-ZZVD</v>
      </c>
      <c r="K24" t="str">
        <f t="shared" si="6"/>
        <v>DBYP-ZZWD</v>
      </c>
      <c r="L24" t="str">
        <f t="shared" si="6"/>
        <v>DBYP-ZZXD</v>
      </c>
      <c r="M24" t="str">
        <f t="shared" si="6"/>
        <v>DBYP-ZZYD</v>
      </c>
      <c r="N24" t="str">
        <f t="shared" si="6"/>
        <v>DBYP-ZZZD</v>
      </c>
      <c r="O24" t="str">
        <f t="shared" si="6"/>
        <v>DBZP-2Z2D</v>
      </c>
      <c r="P24" t="str">
        <f t="shared" si="6"/>
        <v>DBZP-2Z3D</v>
      </c>
      <c r="Q24" t="str">
        <f t="shared" si="6"/>
        <v>DBZP-2Z4D</v>
      </c>
    </row>
    <row r="25" spans="1:17" ht="13.2" x14ac:dyDescent="0.25">
      <c r="A25" s="6" t="str">
        <f t="shared" si="4"/>
        <v>74°02'22,0" W</v>
      </c>
      <c r="B25" s="12">
        <f t="shared" si="5"/>
        <v>-74.039444777777703</v>
      </c>
      <c r="C25" t="str">
        <f t="shared" si="2"/>
        <v>DBYP-ZZOE</v>
      </c>
      <c r="D25" t="str">
        <f t="shared" si="2"/>
        <v>DBYP-ZZPE</v>
      </c>
      <c r="E25" t="str">
        <f t="shared" si="6"/>
        <v>DBYP-ZZQE</v>
      </c>
      <c r="F25" t="str">
        <f t="shared" si="6"/>
        <v>DBYP-ZZRE</v>
      </c>
      <c r="G25" t="str">
        <f t="shared" si="6"/>
        <v>DBYP-ZZSE</v>
      </c>
      <c r="H25" t="str">
        <f t="shared" si="6"/>
        <v>DBYP-ZZTE</v>
      </c>
      <c r="I25" t="str">
        <f t="shared" si="6"/>
        <v>DBYP-ZZUE</v>
      </c>
      <c r="J25" t="str">
        <f t="shared" si="6"/>
        <v>DBYP-ZZVE</v>
      </c>
      <c r="K25" t="str">
        <f t="shared" si="6"/>
        <v>DBYP-ZZWE</v>
      </c>
      <c r="L25" t="str">
        <f t="shared" si="6"/>
        <v>DBYP-ZZXE</v>
      </c>
      <c r="M25" t="str">
        <f t="shared" si="6"/>
        <v>DBYP-ZZYE</v>
      </c>
      <c r="N25" t="str">
        <f t="shared" si="6"/>
        <v>DBYP-ZZZE</v>
      </c>
      <c r="O25" t="str">
        <f t="shared" si="6"/>
        <v>DBZP-2Z2E</v>
      </c>
      <c r="P25" t="str">
        <f t="shared" si="6"/>
        <v>DBZP-2Z3E</v>
      </c>
      <c r="Q25" t="str">
        <f t="shared" si="6"/>
        <v>DBZP-2Z4E</v>
      </c>
    </row>
    <row r="26" spans="1:17" ht="13.2" x14ac:dyDescent="0.25">
      <c r="A26" s="6" t="str">
        <f t="shared" si="4"/>
        <v>74°02'21,0" W</v>
      </c>
      <c r="B26" s="12">
        <f t="shared" si="5"/>
        <v>-74.039166999999921</v>
      </c>
      <c r="C26" t="str">
        <f t="shared" si="2"/>
        <v>DBYP-ZZOF</v>
      </c>
      <c r="D26" t="str">
        <f t="shared" si="2"/>
        <v>DBYP-ZZPF</v>
      </c>
      <c r="E26" t="str">
        <f t="shared" si="6"/>
        <v>DBYP-ZZQF</v>
      </c>
      <c r="F26" t="str">
        <f t="shared" si="6"/>
        <v>DBYP-ZZRF</v>
      </c>
      <c r="G26" t="str">
        <f t="shared" si="6"/>
        <v>DBYP-ZZSF</v>
      </c>
      <c r="H26" t="str">
        <f t="shared" si="6"/>
        <v>DBYP-ZZTF</v>
      </c>
      <c r="I26" t="str">
        <f t="shared" si="6"/>
        <v>DBYP-ZZUF</v>
      </c>
      <c r="J26" t="str">
        <f t="shared" si="6"/>
        <v>DBYP-ZZVF</v>
      </c>
      <c r="K26" t="str">
        <f t="shared" si="6"/>
        <v>DBYP-ZZWF</v>
      </c>
      <c r="L26" t="str">
        <f t="shared" si="6"/>
        <v>DBYP-ZZXF</v>
      </c>
      <c r="M26" t="str">
        <f t="shared" si="6"/>
        <v>DBYP-ZZYF</v>
      </c>
      <c r="N26" t="str">
        <f t="shared" si="6"/>
        <v>DBYP-ZZZF</v>
      </c>
      <c r="O26" t="str">
        <f t="shared" si="6"/>
        <v>DBZP-2Z2F</v>
      </c>
      <c r="P26" t="str">
        <f t="shared" si="6"/>
        <v>DBZP-2Z3F</v>
      </c>
      <c r="Q26" t="str">
        <f t="shared" si="6"/>
        <v>DBZP-2Z4F</v>
      </c>
    </row>
    <row r="27" spans="1:17" ht="13.2" x14ac:dyDescent="0.25">
      <c r="A27" s="6" t="str">
        <f t="shared" si="4"/>
        <v>74°02'20,0" W</v>
      </c>
      <c r="B27" s="12">
        <f t="shared" si="5"/>
        <v>-74.038889222222139</v>
      </c>
      <c r="C27" t="str">
        <f t="shared" si="2"/>
        <v>DBYP-ZZOG</v>
      </c>
      <c r="D27" t="str">
        <f t="shared" si="2"/>
        <v>DBYP-ZZPG</v>
      </c>
      <c r="E27" t="str">
        <f t="shared" si="6"/>
        <v>DBYP-ZZQG</v>
      </c>
      <c r="F27" t="str">
        <f t="shared" si="6"/>
        <v>DBYP-ZZRG</v>
      </c>
      <c r="G27" t="str">
        <f t="shared" si="6"/>
        <v>DBYP-ZZSG</v>
      </c>
      <c r="H27" t="str">
        <f t="shared" si="6"/>
        <v>DBYP-ZZTG</v>
      </c>
      <c r="I27" t="str">
        <f t="shared" si="6"/>
        <v>DBYP-ZZUG</v>
      </c>
      <c r="J27" t="str">
        <f t="shared" si="6"/>
        <v>DBYP-ZZVG</v>
      </c>
      <c r="K27" t="str">
        <f t="shared" si="6"/>
        <v>DBYP-ZZWG</v>
      </c>
      <c r="L27" t="str">
        <f t="shared" si="6"/>
        <v>DBYP-ZZXG</v>
      </c>
      <c r="M27" t="str">
        <f t="shared" si="6"/>
        <v>DBYP-ZZYG</v>
      </c>
      <c r="N27" t="str">
        <f t="shared" si="6"/>
        <v>DBYP-ZZZG</v>
      </c>
      <c r="O27" t="str">
        <f t="shared" si="6"/>
        <v>DBZP-2Z2G</v>
      </c>
      <c r="P27" t="str">
        <f t="shared" si="6"/>
        <v>DBZP-2Z3G</v>
      </c>
      <c r="Q27" t="str">
        <f t="shared" si="6"/>
        <v>DBZP-2Z4G</v>
      </c>
    </row>
    <row r="28" spans="1:17" ht="13.2" x14ac:dyDescent="0.25">
      <c r="A28" s="6" t="str">
        <f t="shared" si="4"/>
        <v>74°02'19,0" W</v>
      </c>
      <c r="B28" s="12">
        <f t="shared" si="5"/>
        <v>-74.038611444444356</v>
      </c>
      <c r="C28" t="str">
        <f t="shared" si="2"/>
        <v>DBYP-ZZOH</v>
      </c>
      <c r="D28" t="str">
        <f t="shared" si="2"/>
        <v>DBYP-ZZPH</v>
      </c>
      <c r="E28" t="str">
        <f t="shared" si="6"/>
        <v>DBYP-ZZQH</v>
      </c>
      <c r="F28" t="str">
        <f t="shared" si="6"/>
        <v>DBYP-ZZRH</v>
      </c>
      <c r="G28" t="str">
        <f t="shared" si="6"/>
        <v>DBYP-ZZSH</v>
      </c>
      <c r="H28" t="str">
        <f t="shared" si="6"/>
        <v>DBYP-ZZTH</v>
      </c>
      <c r="I28" t="str">
        <f t="shared" si="6"/>
        <v>DBYP-ZZUH</v>
      </c>
      <c r="J28" t="str">
        <f t="shared" si="6"/>
        <v>DBYP-ZZVH</v>
      </c>
      <c r="K28" t="str">
        <f t="shared" si="6"/>
        <v>DBYP-ZZWH</v>
      </c>
      <c r="L28" t="str">
        <f t="shared" si="6"/>
        <v>DBYP-ZZXH</v>
      </c>
      <c r="M28" t="str">
        <f t="shared" si="6"/>
        <v>DBYP-ZZYH</v>
      </c>
      <c r="N28" t="str">
        <f t="shared" si="6"/>
        <v>DBYP-ZZZH</v>
      </c>
      <c r="O28" t="str">
        <f t="shared" si="6"/>
        <v>DBZP-2Z2H</v>
      </c>
      <c r="P28" t="str">
        <f t="shared" si="6"/>
        <v>DBZP-2Z3H</v>
      </c>
      <c r="Q28" t="str">
        <f t="shared" si="6"/>
        <v>DBZP-2Z4H</v>
      </c>
    </row>
    <row r="29" spans="1:17" ht="13.2" x14ac:dyDescent="0.25">
      <c r="A29" s="6" t="str">
        <f t="shared" si="4"/>
        <v>74°02'18,0" W</v>
      </c>
      <c r="B29" s="12">
        <f t="shared" si="5"/>
        <v>-74.038333666666574</v>
      </c>
      <c r="C29" t="str">
        <f t="shared" ref="C29:Q39" si="7">MakeLocationsCode(C$7,$B29)</f>
        <v>DBYP-ZZOI</v>
      </c>
      <c r="D29" t="str">
        <f t="shared" si="7"/>
        <v>DBYP-ZZPI</v>
      </c>
      <c r="E29" t="str">
        <f t="shared" si="7"/>
        <v>DBYP-ZZQI</v>
      </c>
      <c r="F29" t="str">
        <f t="shared" si="7"/>
        <v>DBYP-ZZRI</v>
      </c>
      <c r="G29" t="str">
        <f t="shared" si="7"/>
        <v>DBYP-ZZSI</v>
      </c>
      <c r="H29" t="str">
        <f t="shared" si="7"/>
        <v>DBYP-ZZTI</v>
      </c>
      <c r="I29" t="str">
        <f t="shared" si="7"/>
        <v>DBYP-ZZUI</v>
      </c>
      <c r="J29" t="str">
        <f t="shared" si="7"/>
        <v>DBYP-ZZVI</v>
      </c>
      <c r="K29" t="str">
        <f t="shared" si="7"/>
        <v>DBYP-ZZWI</v>
      </c>
      <c r="L29" t="str">
        <f t="shared" si="7"/>
        <v>DBYP-ZZXI</v>
      </c>
      <c r="M29" t="str">
        <f t="shared" si="7"/>
        <v>DBYP-ZZYI</v>
      </c>
      <c r="N29" t="str">
        <f t="shared" si="7"/>
        <v>DBYP-ZZZI</v>
      </c>
      <c r="O29" t="str">
        <f t="shared" si="7"/>
        <v>DBZP-2Z2I</v>
      </c>
      <c r="P29" t="str">
        <f t="shared" si="7"/>
        <v>DBZP-2Z3I</v>
      </c>
      <c r="Q29" t="str">
        <f t="shared" si="7"/>
        <v>DBZP-2Z4I</v>
      </c>
    </row>
    <row r="30" spans="1:17" ht="13.2" x14ac:dyDescent="0.25">
      <c r="A30" s="6" t="str">
        <f t="shared" si="4"/>
        <v>74°02'17,0" W</v>
      </c>
      <c r="B30" s="12">
        <f t="shared" si="5"/>
        <v>-74.038055888888792</v>
      </c>
      <c r="C30" t="str">
        <f t="shared" si="7"/>
        <v>DBYP-ZZOJ</v>
      </c>
      <c r="D30" t="str">
        <f t="shared" si="7"/>
        <v>DBYP-ZZPJ</v>
      </c>
      <c r="E30" t="str">
        <f t="shared" si="7"/>
        <v>DBYP-ZZQJ</v>
      </c>
      <c r="F30" t="str">
        <f t="shared" si="7"/>
        <v>DBYP-ZZRJ</v>
      </c>
      <c r="G30" t="str">
        <f t="shared" si="7"/>
        <v>DBYP-ZZSJ</v>
      </c>
      <c r="H30" t="str">
        <f t="shared" si="7"/>
        <v>DBYP-ZZTJ</v>
      </c>
      <c r="I30" t="str">
        <f t="shared" si="7"/>
        <v>DBYP-ZZUJ</v>
      </c>
      <c r="J30" t="str">
        <f t="shared" si="7"/>
        <v>DBYP-ZZVJ</v>
      </c>
      <c r="K30" t="str">
        <f t="shared" si="7"/>
        <v>DBYP-ZZWJ</v>
      </c>
      <c r="L30" t="str">
        <f t="shared" si="7"/>
        <v>DBYP-ZZXJ</v>
      </c>
      <c r="M30" t="str">
        <f t="shared" si="7"/>
        <v>DBYP-ZZYJ</v>
      </c>
      <c r="N30" t="str">
        <f t="shared" si="7"/>
        <v>DBYP-ZZZJ</v>
      </c>
      <c r="O30" t="str">
        <f t="shared" si="7"/>
        <v>DBZP-2Z2J</v>
      </c>
      <c r="P30" t="str">
        <f t="shared" si="7"/>
        <v>DBZP-2Z3J</v>
      </c>
      <c r="Q30" t="str">
        <f t="shared" si="7"/>
        <v>DBZP-2Z4J</v>
      </c>
    </row>
    <row r="31" spans="1:17" ht="13.2" x14ac:dyDescent="0.25">
      <c r="A31" s="6" t="str">
        <f t="shared" si="4"/>
        <v>74°02'16,0" W</v>
      </c>
      <c r="B31" s="12">
        <f t="shared" si="5"/>
        <v>-74.03777811111101</v>
      </c>
      <c r="C31" t="str">
        <f t="shared" si="7"/>
        <v>DBYP-ZZOK</v>
      </c>
      <c r="D31" t="str">
        <f t="shared" si="7"/>
        <v>DBYP-ZZPK</v>
      </c>
      <c r="E31" t="str">
        <f t="shared" si="7"/>
        <v>DBYP-ZZQK</v>
      </c>
      <c r="F31" t="str">
        <f t="shared" si="7"/>
        <v>DBYP-ZZRK</v>
      </c>
      <c r="G31" t="str">
        <f t="shared" si="7"/>
        <v>DBYP-ZZSK</v>
      </c>
      <c r="H31" t="str">
        <f t="shared" si="7"/>
        <v>DBYP-ZZTK</v>
      </c>
      <c r="I31" t="str">
        <f t="shared" si="7"/>
        <v>DBYP-ZZUK</v>
      </c>
      <c r="J31" t="str">
        <f t="shared" si="7"/>
        <v>DBYP-ZZVK</v>
      </c>
      <c r="K31" t="str">
        <f t="shared" si="7"/>
        <v>DBYP-ZZWK</v>
      </c>
      <c r="L31" t="str">
        <f t="shared" si="7"/>
        <v>DBYP-ZZXK</v>
      </c>
      <c r="M31" t="str">
        <f t="shared" si="7"/>
        <v>DBYP-ZZYK</v>
      </c>
      <c r="N31" t="str">
        <f t="shared" si="7"/>
        <v>DBYP-ZZZK</v>
      </c>
      <c r="O31" t="str">
        <f t="shared" si="7"/>
        <v>DBZP-2Z2K</v>
      </c>
      <c r="P31" t="str">
        <f t="shared" si="7"/>
        <v>DBZP-2Z3K</v>
      </c>
      <c r="Q31" t="str">
        <f t="shared" si="7"/>
        <v>DBZP-2Z4K</v>
      </c>
    </row>
    <row r="32" spans="1:17" ht="13.2" x14ac:dyDescent="0.25">
      <c r="A32" s="6" t="str">
        <f t="shared" si="4"/>
        <v>74°02'15,0" W</v>
      </c>
      <c r="B32" s="12">
        <f t="shared" si="5"/>
        <v>-74.037500333333227</v>
      </c>
      <c r="C32" t="str">
        <f t="shared" si="7"/>
        <v>DBYP-ZZOL</v>
      </c>
      <c r="D32" t="str">
        <f t="shared" si="7"/>
        <v>DBYP-ZZPL</v>
      </c>
      <c r="E32" t="str">
        <f t="shared" si="7"/>
        <v>DBYP-ZZQL</v>
      </c>
      <c r="F32" t="str">
        <f t="shared" si="7"/>
        <v>DBYP-ZZRL</v>
      </c>
      <c r="G32" t="str">
        <f t="shared" si="7"/>
        <v>DBYP-ZZSL</v>
      </c>
      <c r="H32" t="str">
        <f t="shared" si="7"/>
        <v>DBYP-ZZTL</v>
      </c>
      <c r="I32" t="str">
        <f t="shared" si="7"/>
        <v>DBYP-ZZUL</v>
      </c>
      <c r="J32" t="str">
        <f t="shared" si="7"/>
        <v>DBYP-ZZVL</v>
      </c>
      <c r="K32" t="str">
        <f t="shared" si="7"/>
        <v>DBYP-ZZWL</v>
      </c>
      <c r="L32" t="str">
        <f t="shared" si="7"/>
        <v>DBYP-ZZXL</v>
      </c>
      <c r="M32" t="str">
        <f t="shared" si="7"/>
        <v>DBYP-ZZYL</v>
      </c>
      <c r="N32" t="str">
        <f t="shared" si="7"/>
        <v>DBYP-ZZZL</v>
      </c>
      <c r="O32" t="str">
        <f t="shared" si="7"/>
        <v>DBZP-2Z2L</v>
      </c>
      <c r="P32" t="str">
        <f t="shared" si="7"/>
        <v>DBZP-2Z3L</v>
      </c>
      <c r="Q32" t="str">
        <f t="shared" si="7"/>
        <v>DBZP-2Z4L</v>
      </c>
    </row>
    <row r="33" spans="1:17" ht="13.2" x14ac:dyDescent="0.25">
      <c r="A33" s="6" t="str">
        <f t="shared" si="4"/>
        <v>74°02'14,0" W</v>
      </c>
      <c r="B33" s="12">
        <f t="shared" si="5"/>
        <v>-74.037222555555445</v>
      </c>
      <c r="C33" t="str">
        <f t="shared" si="7"/>
        <v>DBYP-ZZOM</v>
      </c>
      <c r="D33" t="str">
        <f t="shared" si="7"/>
        <v>DBYP-ZZPM</v>
      </c>
      <c r="E33" t="str">
        <f t="shared" si="7"/>
        <v>DBYP-ZZQM</v>
      </c>
      <c r="F33" t="str">
        <f t="shared" si="7"/>
        <v>DBYP-ZZRM</v>
      </c>
      <c r="G33" t="str">
        <f t="shared" si="7"/>
        <v>DBYP-ZZSM</v>
      </c>
      <c r="H33" t="str">
        <f t="shared" si="7"/>
        <v>DBYP-ZZTM</v>
      </c>
      <c r="I33" t="str">
        <f t="shared" si="7"/>
        <v>DBYP-ZZUM</v>
      </c>
      <c r="J33" t="str">
        <f t="shared" si="7"/>
        <v>DBYP-ZZVM</v>
      </c>
      <c r="K33" t="str">
        <f t="shared" si="7"/>
        <v>DBYP-ZZWM</v>
      </c>
      <c r="L33" t="str">
        <f t="shared" si="7"/>
        <v>DBYP-ZZXM</v>
      </c>
      <c r="M33" t="str">
        <f t="shared" si="7"/>
        <v>DBYP-ZZYM</v>
      </c>
      <c r="N33" t="str">
        <f t="shared" si="7"/>
        <v>DBYP-ZZZM</v>
      </c>
      <c r="O33" t="str">
        <f t="shared" si="7"/>
        <v>DBZP-2Z2M</v>
      </c>
      <c r="P33" t="str">
        <f t="shared" si="7"/>
        <v>DBZP-2Z3M</v>
      </c>
      <c r="Q33" t="str">
        <f t="shared" si="7"/>
        <v>DBZP-2Z4M</v>
      </c>
    </row>
    <row r="34" spans="1:17" ht="13.2" x14ac:dyDescent="0.25">
      <c r="A34" s="6" t="str">
        <f t="shared" si="4"/>
        <v>74°02'13,0" W</v>
      </c>
      <c r="B34" s="12">
        <f t="shared" si="5"/>
        <v>-74.036944777777663</v>
      </c>
      <c r="C34" t="str">
        <f t="shared" si="7"/>
        <v>DBYP-ZZON</v>
      </c>
      <c r="D34" t="str">
        <f t="shared" si="7"/>
        <v>DBYP-ZZPN</v>
      </c>
      <c r="E34" t="str">
        <f t="shared" si="7"/>
        <v>DBYP-ZZQN</v>
      </c>
      <c r="F34" t="str">
        <f t="shared" si="7"/>
        <v>DBYP-ZZRN</v>
      </c>
      <c r="G34" t="str">
        <f t="shared" si="7"/>
        <v>DBYP-ZZSN</v>
      </c>
      <c r="H34" t="str">
        <f t="shared" si="7"/>
        <v>DBYP-ZZTN</v>
      </c>
      <c r="I34" t="str">
        <f t="shared" si="7"/>
        <v>DBYP-ZZUN</v>
      </c>
      <c r="J34" t="str">
        <f t="shared" si="7"/>
        <v>DBYP-ZZVN</v>
      </c>
      <c r="K34" t="str">
        <f t="shared" si="7"/>
        <v>DBYP-ZZWN</v>
      </c>
      <c r="L34" t="str">
        <f t="shared" si="7"/>
        <v>DBYP-ZZXN</v>
      </c>
      <c r="M34" t="str">
        <f t="shared" si="7"/>
        <v>DBYP-ZZYN</v>
      </c>
      <c r="N34" t="str">
        <f t="shared" si="7"/>
        <v>DBYP-ZZZN</v>
      </c>
      <c r="O34" t="str">
        <f t="shared" si="7"/>
        <v>DBZP-2Z2N</v>
      </c>
      <c r="P34" t="str">
        <f t="shared" si="7"/>
        <v>DBZP-2Z3N</v>
      </c>
      <c r="Q34" t="str">
        <f t="shared" si="7"/>
        <v>DBZP-2Z4N</v>
      </c>
    </row>
    <row r="35" spans="1:17" ht="13.2" x14ac:dyDescent="0.25">
      <c r="A35" s="6" t="str">
        <f t="shared" si="4"/>
        <v>74°02'12,0" W</v>
      </c>
      <c r="B35" s="12">
        <f t="shared" si="5"/>
        <v>-74.036666999999881</v>
      </c>
      <c r="C35" t="str">
        <f t="shared" si="7"/>
        <v>DBYP-ZZOO</v>
      </c>
      <c r="D35" t="str">
        <f t="shared" si="7"/>
        <v>DBYP-ZZPO</v>
      </c>
      <c r="E35" t="str">
        <f t="shared" si="7"/>
        <v>DBYP-ZZQO</v>
      </c>
      <c r="F35" t="str">
        <f t="shared" si="7"/>
        <v>DBYP-ZZRO</v>
      </c>
      <c r="G35" t="str">
        <f t="shared" si="7"/>
        <v>DBYP-ZZSO</v>
      </c>
      <c r="H35" t="str">
        <f t="shared" si="7"/>
        <v>DBYP-ZZTO</v>
      </c>
      <c r="I35" t="str">
        <f t="shared" si="7"/>
        <v>DBYP-ZZUO</v>
      </c>
      <c r="J35" t="str">
        <f t="shared" si="7"/>
        <v>DBYP-ZZVO</v>
      </c>
      <c r="K35" t="str">
        <f t="shared" si="7"/>
        <v>DBYP-ZZWO</v>
      </c>
      <c r="L35" t="str">
        <f t="shared" si="7"/>
        <v>DBYP-ZZXO</v>
      </c>
      <c r="M35" t="str">
        <f t="shared" si="7"/>
        <v>DBYP-ZZYO</v>
      </c>
      <c r="N35" t="str">
        <f t="shared" si="7"/>
        <v>DBYP-ZZZO</v>
      </c>
      <c r="O35" t="str">
        <f t="shared" si="7"/>
        <v>DBZP-2Z2O</v>
      </c>
      <c r="P35" t="str">
        <f t="shared" si="7"/>
        <v>DBZP-2Z3O</v>
      </c>
      <c r="Q35" t="str">
        <f t="shared" si="7"/>
        <v>DBZP-2Z4O</v>
      </c>
    </row>
    <row r="36" spans="1:17" ht="13.2" x14ac:dyDescent="0.25">
      <c r="A36" s="6" t="str">
        <f t="shared" si="4"/>
        <v>74°02'11,0" W</v>
      </c>
      <c r="B36" s="12">
        <f t="shared" si="5"/>
        <v>-74.036389222222098</v>
      </c>
      <c r="C36" t="str">
        <f t="shared" si="7"/>
        <v>DBYP-ZZOP</v>
      </c>
      <c r="D36" t="str">
        <f t="shared" si="7"/>
        <v>DBYP-ZZPP</v>
      </c>
      <c r="E36" t="str">
        <f t="shared" si="7"/>
        <v>DBYP-ZZQP</v>
      </c>
      <c r="F36" t="str">
        <f t="shared" si="7"/>
        <v>DBYP-ZZRP</v>
      </c>
      <c r="G36" t="str">
        <f t="shared" si="7"/>
        <v>DBYP-ZZSP</v>
      </c>
      <c r="H36" t="str">
        <f t="shared" si="7"/>
        <v>DBYP-ZZTP</v>
      </c>
      <c r="I36" t="str">
        <f t="shared" si="7"/>
        <v>DBYP-ZZUP</v>
      </c>
      <c r="J36" t="str">
        <f t="shared" si="7"/>
        <v>DBYP-ZZVP</v>
      </c>
      <c r="K36" t="str">
        <f t="shared" si="7"/>
        <v>DBYP-ZZWP</v>
      </c>
      <c r="L36" t="str">
        <f t="shared" si="7"/>
        <v>DBYP-ZZXP</v>
      </c>
      <c r="M36" t="str">
        <f t="shared" si="7"/>
        <v>DBYP-ZZYP</v>
      </c>
      <c r="N36" t="str">
        <f t="shared" si="7"/>
        <v>DBYP-ZZZP</v>
      </c>
      <c r="O36" t="str">
        <f t="shared" si="7"/>
        <v>DBZP-2Z2P</v>
      </c>
      <c r="P36" t="str">
        <f t="shared" si="7"/>
        <v>DBZP-2Z3P</v>
      </c>
      <c r="Q36" t="str">
        <f t="shared" si="7"/>
        <v>DBZP-2Z4P</v>
      </c>
    </row>
    <row r="37" spans="1:17" ht="13.2" x14ac:dyDescent="0.25">
      <c r="A37" s="6" t="str">
        <f t="shared" si="4"/>
        <v>74°02'10,0" W</v>
      </c>
      <c r="B37" s="12">
        <f t="shared" si="5"/>
        <v>-74.036111444444316</v>
      </c>
      <c r="C37" t="str">
        <f t="shared" si="7"/>
        <v>DBYP-ZZOQ</v>
      </c>
      <c r="D37" t="str">
        <f t="shared" si="7"/>
        <v>DBYP-ZZPQ</v>
      </c>
      <c r="E37" t="str">
        <f t="shared" si="7"/>
        <v>DBYP-ZZQQ</v>
      </c>
      <c r="F37" t="str">
        <f t="shared" si="7"/>
        <v>DBYP-ZZRQ</v>
      </c>
      <c r="G37" t="str">
        <f t="shared" si="7"/>
        <v>DBYP-ZZSQ</v>
      </c>
      <c r="H37" t="str">
        <f t="shared" si="7"/>
        <v>DBYP-ZZTQ</v>
      </c>
      <c r="I37" t="str">
        <f t="shared" si="7"/>
        <v>DBYP-ZZUQ</v>
      </c>
      <c r="J37" t="str">
        <f t="shared" si="7"/>
        <v>DBYP-ZZVQ</v>
      </c>
      <c r="K37" t="str">
        <f t="shared" si="7"/>
        <v>DBYP-ZZWQ</v>
      </c>
      <c r="L37" t="str">
        <f t="shared" si="7"/>
        <v>DBYP-ZZXQ</v>
      </c>
      <c r="M37" t="str">
        <f t="shared" si="7"/>
        <v>DBYP-ZZYQ</v>
      </c>
      <c r="N37" t="str">
        <f t="shared" si="7"/>
        <v>DBYP-ZZZQ</v>
      </c>
      <c r="O37" t="str">
        <f t="shared" si="7"/>
        <v>DBZP-2Z2Q</v>
      </c>
      <c r="P37" t="str">
        <f t="shared" si="7"/>
        <v>DBZP-2Z3Q</v>
      </c>
      <c r="Q37" t="str">
        <f t="shared" si="7"/>
        <v>DBZP-2Z4Q</v>
      </c>
    </row>
    <row r="38" spans="1:17" ht="13.2" x14ac:dyDescent="0.25">
      <c r="A38" s="6" t="str">
        <f t="shared" si="4"/>
        <v>74°02'9,0" W</v>
      </c>
      <c r="B38" s="12">
        <f t="shared" si="5"/>
        <v>-74.035833666666534</v>
      </c>
      <c r="C38" t="str">
        <f t="shared" si="7"/>
        <v>DBYP-ZZOR</v>
      </c>
      <c r="D38" t="str">
        <f t="shared" si="7"/>
        <v>DBYP-ZZPR</v>
      </c>
      <c r="E38" t="str">
        <f t="shared" si="7"/>
        <v>DBYP-ZZQR</v>
      </c>
      <c r="F38" t="str">
        <f t="shared" si="7"/>
        <v>DBYP-ZZRR</v>
      </c>
      <c r="G38" t="str">
        <f t="shared" si="7"/>
        <v>DBYP-ZZSR</v>
      </c>
      <c r="H38" t="str">
        <f t="shared" si="7"/>
        <v>DBYP-ZZTR</v>
      </c>
      <c r="I38" t="str">
        <f t="shared" si="7"/>
        <v>DBYP-ZZUR</v>
      </c>
      <c r="J38" t="str">
        <f t="shared" si="7"/>
        <v>DBYP-ZZVR</v>
      </c>
      <c r="K38" t="str">
        <f t="shared" si="7"/>
        <v>DBYP-ZZWR</v>
      </c>
      <c r="L38" t="str">
        <f t="shared" si="7"/>
        <v>DBYP-ZZXR</v>
      </c>
      <c r="M38" t="str">
        <f t="shared" si="7"/>
        <v>DBYP-ZZYR</v>
      </c>
      <c r="N38" t="str">
        <f t="shared" si="7"/>
        <v>DBYP-ZZZR</v>
      </c>
      <c r="O38" t="str">
        <f t="shared" si="7"/>
        <v>DBZP-2Z2R</v>
      </c>
      <c r="P38" t="str">
        <f t="shared" si="7"/>
        <v>DBZP-2Z3R</v>
      </c>
      <c r="Q38" t="str">
        <f t="shared" si="7"/>
        <v>DBZP-2Z4R</v>
      </c>
    </row>
    <row r="39" spans="1:17" ht="13.2" x14ac:dyDescent="0.25">
      <c r="A39" s="6" t="str">
        <f t="shared" si="4"/>
        <v>74°02'8,0" W</v>
      </c>
      <c r="B39" s="12">
        <f t="shared" si="5"/>
        <v>-74.035555888888751</v>
      </c>
      <c r="C39" t="str">
        <f t="shared" si="7"/>
        <v>DBYP-ZZOS</v>
      </c>
      <c r="D39" t="str">
        <f t="shared" si="7"/>
        <v>DBYP-ZZPS</v>
      </c>
      <c r="E39" t="str">
        <f t="shared" si="7"/>
        <v>DBYP-ZZQS</v>
      </c>
      <c r="F39" t="str">
        <f t="shared" si="7"/>
        <v>DBYP-ZZRS</v>
      </c>
      <c r="G39" t="str">
        <f t="shared" si="7"/>
        <v>DBYP-ZZSS</v>
      </c>
      <c r="H39" t="str">
        <f t="shared" si="7"/>
        <v>DBYP-ZZTS</v>
      </c>
      <c r="I39" t="str">
        <f t="shared" si="7"/>
        <v>DBYP-ZZUS</v>
      </c>
      <c r="J39" t="str">
        <f t="shared" si="7"/>
        <v>DBYP-ZZVS</v>
      </c>
      <c r="K39" t="str">
        <f t="shared" si="7"/>
        <v>DBYP-ZZWS</v>
      </c>
      <c r="L39" t="str">
        <f t="shared" si="7"/>
        <v>DBYP-ZZXS</v>
      </c>
      <c r="M39" t="str">
        <f t="shared" si="7"/>
        <v>DBYP-ZZYS</v>
      </c>
      <c r="N39" t="str">
        <f t="shared" si="7"/>
        <v>DBYP-ZZZS</v>
      </c>
      <c r="O39" t="str">
        <f t="shared" si="7"/>
        <v>DBZP-2Z2S</v>
      </c>
      <c r="P39" t="str">
        <f t="shared" si="7"/>
        <v>DBZP-2Z3S</v>
      </c>
      <c r="Q39" t="str">
        <f t="shared" si="7"/>
        <v>DBZP-2Z4S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RemoveLink">
          <controlPr defaultSize="0" autoLine="0" autoPict="0" r:id="rId4">
            <anchor moveWithCells="1">
              <from>
                <xdr:col>3</xdr:col>
                <xdr:colOff>800100</xdr:colOff>
                <xdr:row>0</xdr:row>
                <xdr:rowOff>114300</xdr:rowOff>
              </from>
              <to>
                <xdr:col>5</xdr:col>
                <xdr:colOff>510540</xdr:colOff>
                <xdr:row>3</xdr:row>
                <xdr:rowOff>121920</xdr:rowOff>
              </to>
            </anchor>
          </controlPr>
        </control>
      </mc:Choice>
      <mc:Fallback>
        <control shapeId="2050" r:id="rId3" name="RemoveLink"/>
      </mc:Fallback>
    </mc:AlternateContent>
    <mc:AlternateContent xmlns:mc="http://schemas.openxmlformats.org/markup-compatibility/2006">
      <mc:Choice Requires="x14">
        <control shapeId="2049" r:id="rId5" name="cmdlink">
          <controlPr defaultSize="0" autoLine="0" autoPict="0" r:id="rId6">
            <anchor moveWithCells="1">
              <from>
                <xdr:col>2</xdr:col>
                <xdr:colOff>22860</xdr:colOff>
                <xdr:row>1</xdr:row>
                <xdr:rowOff>15240</xdr:rowOff>
              </from>
              <to>
                <xdr:col>3</xdr:col>
                <xdr:colOff>541020</xdr:colOff>
                <xdr:row>4</xdr:row>
                <xdr:rowOff>22860</xdr:rowOff>
              </to>
            </anchor>
          </controlPr>
        </control>
      </mc:Choice>
      <mc:Fallback>
        <control shapeId="2049" r:id="rId5" name="cmdlink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intro</vt:lpstr>
      <vt:lpstr>encoding</vt:lpstr>
      <vt:lpstr>grid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aldo buondonno</dc:creator>
  <cp:lastModifiedBy>aldo buondonno</cp:lastModifiedBy>
  <dcterms:created xsi:type="dcterms:W3CDTF">2026-01-10T17:55:20Z</dcterms:created>
  <dcterms:modified xsi:type="dcterms:W3CDTF">2026-01-11T12:31:12Z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98c86731-4db6-45d3-b552-14b7500cd287</vt:lpwstr>
  </property>
</Properties>
</file>